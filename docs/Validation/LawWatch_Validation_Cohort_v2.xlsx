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27d51136347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dd89242f6a14db8"/>
    <x:sheet xmlns:r="http://schemas.openxmlformats.org/officeDocument/2006/relationships" name="50-Firm Cohort" sheetId="2" r:id="R4f073c92c0a043ec"/>
    <x:sheet xmlns:r="http://schemas.openxmlformats.org/officeDocument/2006/relationships" name="Gold Benchmark" sheetId="3" r:id="Rfd35cf5ac05a4053"/>
    <x:sheet xmlns:r="http://schemas.openxmlformats.org/officeDocument/2006/relationships" name="LawWatch Rulebook v1" sheetId="4" r:id="Rf2b352b1181d4b95"/>
    <x:sheet xmlns:r="http://schemas.openxmlformats.org/officeDocument/2006/relationships" name="Review Guide" sheetId="5" r:id="R66b50f63356b46f1"/>
    <x:sheet xmlns:r="http://schemas.openxmlformats.org/officeDocument/2006/relationships" name="Sources" sheetId="6" r:id="R075fb548599e4f0a"/>
    <x:sheet xmlns:r="http://schemas.openxmlformats.org/officeDocument/2006/relationships" name="Full Benchmark" sheetId="7" r:id="Rb600e824f0bb45a7"/>
    <x:sheet xmlns:r="http://schemas.openxmlformats.org/officeDocument/2006/relationships" name="Benchmark Summary" sheetId="8" r:id="R19ee59d86fda4c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63A5F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71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D9D9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D9D9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D9D9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D9D9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D9D9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D9D9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D9D9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D9D9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D9D9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D9D9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D9D9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D9D9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D9D9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D9D9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D9D9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D9D9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D9D9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9c4e0f9bda48a6" /><Relationship Type="http://schemas.openxmlformats.org/officeDocument/2006/relationships/theme" Target="/xl/theme/theme1.xml" Id="R42c4295d3ae14d45" /><Relationship Type="http://schemas.openxmlformats.org/officeDocument/2006/relationships/sharedStrings" Target="/xl/sharedStrings.xml" Id="R0a09ef9719f74032" /><Relationship Type="http://schemas.openxmlformats.org/officeDocument/2006/relationships/worksheet" Target="/xl/worksheets/sheet1.xml" Id="R9dd89242f6a14db8" /><Relationship Type="http://schemas.openxmlformats.org/officeDocument/2006/relationships/worksheet" Target="/xl/worksheets/sheet2.xml" Id="R4f073c92c0a043ec" /><Relationship Type="http://schemas.openxmlformats.org/officeDocument/2006/relationships/worksheet" Target="/xl/worksheets/sheet3.xml" Id="Rfd35cf5ac05a4053" /><Relationship Type="http://schemas.openxmlformats.org/officeDocument/2006/relationships/worksheet" Target="/xl/worksheets/sheet4.xml" Id="Rf2b352b1181d4b95" /><Relationship Type="http://schemas.openxmlformats.org/officeDocument/2006/relationships/worksheet" Target="/xl/worksheets/sheet5.xml" Id="R66b50f63356b46f1" /><Relationship Type="http://schemas.openxmlformats.org/officeDocument/2006/relationships/worksheet" Target="/xl/worksheets/sheet6.xml" Id="R075fb548599e4f0a" /><Relationship Type="http://schemas.openxmlformats.org/officeDocument/2006/relationships/worksheet" Target="/xl/worksheets/sheet7.xml" Id="Rb600e824f0bb45a7" /><Relationship Type="http://schemas.openxmlformats.org/officeDocument/2006/relationships/worksheet" Target="/xl/worksheets/sheet8.xml" Id="R19ee59d86fda4c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97ee339fffa454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bcf53fc36c8421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Cohort by region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'Dashboard'!$A$12:$A$19</c:f>
              <c:strCache>
                <c:ptCount val="0"/>
              </c:strCache>
            </c:strRef>
          </c:cat>
          <c:val>
            <c:numRef>
              <c:f>'Dashboard'!$B$12:$B$19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Benchmark confidence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'Benchmark Summary'!$A$5:$A$8</c:f>
              <c:strCache>
                <c:ptCount val="0"/>
              </c:strCache>
            </c:strRef>
          </c:cat>
          <c:val>
            <c:numRef>
              <c:f>'Benchmark Summary'!$B$5:$B$8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11</xdr:row>
      <xdr:rowOff>0</xdr:rowOff>
    </xdr:from>
    <xdr:to>
      <xdr:col>8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7ee339fffa454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11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cf53fc36c8421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hortTable" displayName="CohortTable" ref="A1:L51" headerRowCount="1" totalsRowCount="0" totalsRowShown="0">
  <x:tableColumns count="12">
    <x:tableColumn id="1" name="ID"/>
    <x:tableColumn id="2" name="Firm"/>
    <x:tableColumn id="3" name="Region"/>
    <x:tableColumn id="4" name="Base / footprint"/>
    <x:tableColumn id="5" name="Size band"/>
    <x:tableColumn id="6" name="Cohort role"/>
    <x:tableColumn id="7" name="Website"/>
    <x:tableColumn id="8" name="Primary applicable services"/>
    <x:tableColumn id="9" name="Pricing / transparency URL"/>
    <x:tableColumn id="10" name="Complaints URL"/>
    <x:tableColumn id="11" name="Benchmark status"/>
    <x:tableColumn id="12" name="Why included / challen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oldBenchmarkTable" displayName="GoldBenchmarkTable" ref="A1:V16" headerRowCount="1" totalsRowCount="0" totalsRowShown="0">
  <x:tableColumns count="22">
    <x:tableColumn id="1" name="Firm"/>
    <x:tableColumn id="2" name="Primary benchmark service"/>
    <x:tableColumn id="3" name="LAW-U001"/>
    <x:tableColumn id="4" name="LAW-U002"/>
    <x:tableColumn id="5" name="LAW-U004"/>
    <x:tableColumn id="6" name="LAW-U005"/>
    <x:tableColumn id="7" name="LAW-U008"/>
    <x:tableColumn id="8" name="PRICE-001"/>
    <x:tableColumn id="9" name="PRICE-002"/>
    <x:tableColumn id="10" name="PRICE-004"/>
    <x:tableColumn id="11" name="PRICE-005"/>
    <x:tableColumn id="12" name="PRICE-006"/>
    <x:tableColumn id="13" name="PRICE-008"/>
    <x:tableColumn id="14" name="PRICE-010"/>
    <x:tableColumn id="15" name="PRICE-011"/>
    <x:tableColumn id="16" name="PRICE-012"/>
    <x:tableColumn id="17" name="PRICE-013"/>
    <x:tableColumn id="18" name="PRICE-014"/>
    <x:tableColumn id="19" name="PRICE-016"/>
    <x:tableColumn id="20" name="Reviewer notes"/>
    <x:tableColumn id="21" name="Pricing source"/>
    <x:tableColumn id="22" name="Complaints / regulatory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lebookTable" displayName="RulebookTable" ref="A1:H21" headerRowCount="1" totalsRowCount="0" totalsRowShown="0">
  <x:tableColumns count="8">
    <x:tableColumn id="1" name="Rule code"/>
    <x:tableColumn id="2" name="Rule"/>
    <x:tableColumn id="3" name="Severity"/>
    <x:tableColumn id="4" name="Category"/>
    <x:tableColumn id="5" name="Suggested detector"/>
    <x:tableColumn id="6" name="Machine state options"/>
    <x:tableColumn id="7" name="Human benchmark guidance"/>
    <x:tableColumn id="8" name="Regulatory 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ullBenchmarkTable" displayName="FullBenchmarkTable" ref="A1:Y51" headerRowCount="1" totalsRowCount="0" totalsRowShown="0">
  <x:tableColumns count="25">
    <x:tableColumn id="1" name="Firm"/>
    <x:tableColumn id="2" name="Primary benchmark service"/>
    <x:tableColumn id="3" name="LAW-U001"/>
    <x:tableColumn id="4" name="LAW-U002"/>
    <x:tableColumn id="5" name="LAW-U004"/>
    <x:tableColumn id="6" name="LAW-U005"/>
    <x:tableColumn id="7" name="LAW-U008"/>
    <x:tableColumn id="8" name="PRICE-001"/>
    <x:tableColumn id="9" name="PRICE-002"/>
    <x:tableColumn id="10" name="PRICE-004"/>
    <x:tableColumn id="11" name="PRICE-005"/>
    <x:tableColumn id="12" name="PRICE-006"/>
    <x:tableColumn id="13" name="PRICE-008"/>
    <x:tableColumn id="14" name="PRICE-010"/>
    <x:tableColumn id="15" name="PRICE-011"/>
    <x:tableColumn id="16" name="PRICE-012"/>
    <x:tableColumn id="17" name="PRICE-013"/>
    <x:tableColumn id="18" name="PRICE-014"/>
    <x:tableColumn id="19" name="PRICE-016"/>
    <x:tableColumn id="20" name="Benchmark confidence"/>
    <x:tableColumn id="21" name="Commercial finding"/>
    <x:tableColumn id="22" name="Reviewer notes"/>
    <x:tableColumn id="23" name="Pricing source"/>
    <x:tableColumn id="24" name="Complaints source"/>
    <x:tableColumn id="25" name="General / SRA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71b94842b147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77e525e4cc42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b61f9c7abc4a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e38a6bb39f4d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524634559bb041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58e7e83b742749f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" t="str">
        <x:v>LawWatch Validation Cohort — v1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1" t="str">
        <x:v>Metric</x:v>
      </x:c>
      <x:c r="B4" s="11" t="str">
        <x:v>Value</x:v>
      </x:c>
      <x:c r="E4" s="11" t="str">
        <x:v>Purpose</x:v>
      </x:c>
      <x:c r="F4" s="11" t="str"/>
      <x:c r="G4" s="11" t="str"/>
      <x:c r="H4" s="11" t="str"/>
    </x:row>
    <x:row r="5">
      <x:c r="A5" t="str">
        <x:v>Firms in cohort</x:v>
      </x:c>
      <x:c r="B5" t="n">
        <x:v>50</x:v>
      </x:c>
      <x:c r="E5" s="18" t="str">
        <x:v>50-firm human benchmark now complete.</x:v>
      </x:c>
      <x:c r="F5" s="18" t="str"/>
      <x:c r="G5" s="18" t="str"/>
      <x:c r="H5" s="18" t="str"/>
    </x:row>
    <x:row r="6">
      <x:c r="A6" t="str">
        <x:v>Firms fully benchmarked</x:v>
      </x:c>
      <x:c r="B6" t="n">
        <x:v>50</x:v>
      </x:c>
      <x:c r="E6" s="18" t="str">
        <x:v>The dataset intentionally includes HTML, PDFs, calculators, old sites, multi-office structures and uncertain cases.</x:v>
      </x:c>
      <x:c r="F6" s="18" t="str"/>
      <x:c r="G6" s="18" t="str"/>
      <x:c r="H6" s="18" t="str"/>
    </x:row>
    <x:row r="7">
      <x:c r="A7" t="str">
        <x:v>High-confidence benchmarks</x:v>
      </x:c>
      <x:c r="B7" t="n">
        <x:f>COUNTIF('Full Benchmark'!T2:T51,"High")</x:f>
        <x:v>25</x:v>
      </x:c>
      <x:c r="E7" s="18" t="str">
        <x:v>Review/Unknown are not failures. This is designed to punish false positives in the future rules engine.</x:v>
      </x:c>
      <x:c r="F7" s="18" t="str"/>
      <x:c r="G7" s="18" t="str"/>
      <x:c r="H7" s="18" t="str"/>
    </x:row>
    <x:row r="8">
      <x:c r="A8" t="str">
        <x:v>Rule checks per firm</x:v>
      </x:c>
      <x:c r="B8" t="n">
        <x:v>17</x:v>
      </x:c>
      <x:c r="E8" s="18" t="str">
        <x:v>Two strong drift examples were found: stale probate fee material and old employment-rate review wording.</x:v>
      </x:c>
      <x:c r="F8" s="18" t="str"/>
      <x:c r="G8" s="18" t="str"/>
      <x:c r="H8" s="18" t="str"/>
    </x:row>
    <x:row r="9">
      <x:c r="E9" s="18" t="str">
        <x:v>Birkett Long was removed because the SRA register records it as closed on 1 July 2026; Birketts replaces it.</x:v>
      </x:c>
      <x:c r="F9" s="18" t="str"/>
      <x:c r="G9" s="18" t="str"/>
      <x:c r="H9" s="18" t="str"/>
    </x:row>
    <x:row r="10">
      <x:c r="E10" s="18" t="str">
        <x:v>Research date</x:v>
      </x:c>
      <x:c r="F10" s="18" t="str">
        <x:v>2026-09-11</x:v>
      </x:c>
      <x:c r="G10" s="18" t="str"/>
      <x:c r="H10" s="18" t="str"/>
    </x:row>
    <x:row r="11">
      <x:c r="A11" s="11" t="str">
        <x:v>Region</x:v>
      </x:c>
      <x:c r="B11" s="11" t="str">
        <x:v>Count</x:v>
      </x:c>
      <x:c r="C11" s="11" t="str">
        <x:v>Share</x:v>
      </x:c>
    </x:row>
    <x:row r="12">
      <x:c r="A12" t="str">
        <x:v>South West</x:v>
      </x:c>
      <x:c r="B12" t="n">
        <x:v>9</x:v>
      </x:c>
      <x:c r="C12" s="16" t="n">
        <x:v>0.18</x:v>
      </x:c>
    </x:row>
    <x:row r="13">
      <x:c r="A13" t="str">
        <x:v>South East</x:v>
      </x:c>
      <x:c r="B13" t="n">
        <x:v>6</x:v>
      </x:c>
      <x:c r="C13" s="16" t="n">
        <x:v>0.12</x:v>
      </x:c>
    </x:row>
    <x:row r="14">
      <x:c r="A14" t="str">
        <x:v>Yorkshire</x:v>
      </x:c>
      <x:c r="B14" t="n">
        <x:v>7</x:v>
      </x:c>
      <x:c r="C14" s="16" t="n">
        <x:v>0.14</x:v>
      </x:c>
    </x:row>
    <x:row r="15">
      <x:c r="A15" t="str">
        <x:v>North East</x:v>
      </x:c>
      <x:c r="B15" t="n">
        <x:v>4</x:v>
      </x:c>
      <x:c r="C15" s="16" t="n">
        <x:v>0.08</x:v>
      </x:c>
    </x:row>
    <x:row r="16">
      <x:c r="A16" t="str">
        <x:v>North West</x:v>
      </x:c>
      <x:c r="B16" t="n">
        <x:v>7</x:v>
      </x:c>
      <x:c r="C16" s="16" t="n">
        <x:v>0.14</x:v>
      </x:c>
    </x:row>
    <x:row r="17">
      <x:c r="A17" t="str">
        <x:v>Midlands</x:v>
      </x:c>
      <x:c r="B17" t="n">
        <x:v>7</x:v>
      </x:c>
      <x:c r="C17" s="16" t="n">
        <x:v>0.14</x:v>
      </x:c>
    </x:row>
    <x:row r="18">
      <x:c r="A18" t="str">
        <x:v>East of England</x:v>
      </x:c>
      <x:c r="B18" t="n">
        <x:v>4</x:v>
      </x:c>
      <x:c r="C18" s="16" t="n">
        <x:v>0.08</x:v>
      </x:c>
    </x:row>
    <x:row r="19">
      <x:c r="A19" t="str">
        <x:v>Wales / London</x:v>
      </x:c>
      <x:c r="B19" t="n">
        <x:v>6</x:v>
      </x:c>
      <x:c r="C19" s="16" t="n">
        <x:v>0.12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0071b94842b14786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16" hidden="0" customWidth="1"/>
    <x:col min="4" max="4" width="24" hidden="0" customWidth="1"/>
    <x:col min="5" max="5" width="15" hidden="0" customWidth="1"/>
    <x:col min="6" max="6" width="16" hidden="0" customWidth="1"/>
    <x:col min="7" max="7" width="34" hidden="0" customWidth="1"/>
    <x:col min="8" max="8" width="28" hidden="0" customWidth="1"/>
    <x:col min="9" max="9" width="42" hidden="0" customWidth="1"/>
    <x:col min="10" max="10" width="42" hidden="0" customWidth="1"/>
    <x:col min="11" max="11" width="16" hidden="0" customWidth="1"/>
    <x:col min="12" max="12" width="42" hidden="0" customWidth="1"/>
  </x:cols>
  <x:sheetData>
    <x:row r="1">
      <x:c r="A1" s="11" t="str">
        <x:v>ID</x:v>
      </x:c>
      <x:c r="B1" s="11" t="str">
        <x:v>Firm</x:v>
      </x:c>
      <x:c r="C1" s="11" t="str">
        <x:v>Region</x:v>
      </x:c>
      <x:c r="D1" s="11" t="str">
        <x:v>Base / footprint</x:v>
      </x:c>
      <x:c r="E1" s="11" t="str">
        <x:v>Size band</x:v>
      </x:c>
      <x:c r="F1" s="11" t="str">
        <x:v>Cohort role</x:v>
      </x:c>
      <x:c r="G1" s="11" t="str">
        <x:v>Website</x:v>
      </x:c>
      <x:c r="H1" s="11" t="str">
        <x:v>Primary applicable services</x:v>
      </x:c>
      <x:c r="I1" s="11" t="str">
        <x:v>Pricing / transparency URL</x:v>
      </x:c>
      <x:c r="J1" s="11" t="str">
        <x:v>Complaints URL</x:v>
      </x:c>
      <x:c r="K1" s="11" t="str">
        <x:v>Benchmark status</x:v>
      </x:c>
      <x:c r="L1" s="11" t="str">
        <x:v>Why included / challenge</x:v>
      </x:c>
    </x:row>
    <x:row r="2">
      <x:c r="A2" s="18" t="n">
        <x:v>1</x:v>
      </x:c>
      <x:c r="B2" s="18" t="str">
        <x:v>Nash &amp; Co Solicitors</x:v>
      </x:c>
      <x:c r="C2" s="18" t="str">
        <x:v>South West</x:v>
      </x:c>
      <x:c r="D2" s="18" t="str">
        <x:v>Plymouth</x:v>
      </x:c>
      <x:c r="E2" s="18" t="str">
        <x:v>Medium</x:v>
      </x:c>
      <x:c r="F2" s="18" t="str">
        <x:v>Gold benchmark</x:v>
      </x:c>
      <x:c r="G2" s="18" t="str">
        <x:v>https://nash.co.uk/</x:v>
      </x:c>
      <x:c r="H2" s="18" t="str">
        <x:v>Probate</x:v>
      </x:c>
      <x:c r="I2" s="18" t="str">
        <x:v>https://nash.co.uk/personal/wills-trusts-tax-probate/probate-pricing-structure</x:v>
      </x:c>
      <x:c r="J2" s="18" t="str">
        <x:v>https://nash.co.uk/legal-notices/complaints-procedure</x:v>
      </x:c>
      <x:c r="K2" s="18" t="str">
        <x:v>Benchmarked</x:v>
      </x:c>
      <x:c r="L2" s="18" t="str">
        <x:v>Clear probate pricing; good test of detailed content extraction.</x:v>
      </x:c>
    </x:row>
    <x:row r="3">
      <x:c r="A3" s="18" t="n">
        <x:v>2</x:v>
      </x:c>
      <x:c r="B3" s="18" t="str">
        <x:v>Thompson &amp; Jackson</x:v>
      </x:c>
      <x:c r="C3" s="18" t="str">
        <x:v>South West</x:v>
      </x:c>
      <x:c r="D3" s="18" t="str">
        <x:v>Plymouth</x:v>
      </x:c>
      <x:c r="E3" s="18" t="str">
        <x:v>Small/Medium</x:v>
      </x:c>
      <x:c r="F3" s="18" t="str">
        <x:v>Gold benchmark</x:v>
      </x:c>
      <x:c r="G3" s="18" t="str">
        <x:v>https://www.thompsonandjackson.co.uk/</x:v>
      </x:c>
      <x:c r="H3" s="18" t="str">
        <x:v>Conveyancing / Probate</x:v>
      </x:c>
      <x:c r="I3" s="18" t="str">
        <x:v>https://www.thompsonandjackson.co.uk/pricing</x:v>
      </x:c>
      <x:c r="J3" s="18" t="str"/>
      <x:c r="K3" s="18" t="str">
        <x:v>Benchmarked</x:v>
      </x:c>
      <x:c r="L3" s="18" t="str">
        <x:v>Pricing hub links to downloadable pricing documents; useful document-discovery case.</x:v>
      </x:c>
    </x:row>
    <x:row r="4">
      <x:c r="A4" s="18" t="n">
        <x:v>3</x:v>
      </x:c>
      <x:c r="B4" s="18" t="str">
        <x:v>Wolferstans</x:v>
      </x:c>
      <x:c r="C4" s="18" t="str">
        <x:v>South West</x:v>
      </x:c>
      <x:c r="D4" s="18" t="str">
        <x:v>Plymouth</x:v>
      </x:c>
      <x:c r="E4" s="18" t="str">
        <x:v>Medium/Large</x:v>
      </x:c>
      <x:c r="F4" s="18" t="str">
        <x:v>General cohort</x:v>
      </x:c>
      <x:c r="G4" s="18" t="str">
        <x:v>https://wolferstans.com/</x:v>
      </x:c>
      <x:c r="H4" s="18" t="str">
        <x:v>Probate</x:v>
      </x:c>
      <x:c r="I4" s="18" t="str">
        <x:v>https://wolferstans.com/wills-probate/full-administration-service/</x:v>
      </x:c>
      <x:c r="J4" s="18" t="str">
        <x:v>https://wolferstans.com/complaints/</x:v>
      </x:c>
      <x:c r="K4" s="18" t="str">
        <x:v>Queued</x:v>
      </x:c>
      <x:c r="L4" s="18" t="str">
        <x:v>Large content site; useful for service-page discovery.</x:v>
      </x:c>
    </x:row>
    <x:row r="5">
      <x:c r="A5" s="18" t="n">
        <x:v>4</x:v>
      </x:c>
      <x:c r="B5" s="18" t="str">
        <x:v>GA Solicitors</x:v>
      </x:c>
      <x:c r="C5" s="18" t="str">
        <x:v>South West</x:v>
      </x:c>
      <x:c r="D5" s="18" t="str">
        <x:v>Plymouth / Bath</x:v>
      </x:c>
      <x:c r="E5" s="18" t="str">
        <x:v>Small/Medium</x:v>
      </x:c>
      <x:c r="F5" s="18" t="str">
        <x:v>General cohort</x:v>
      </x:c>
      <x:c r="G5" s="18" t="str">
        <x:v>https://gasolicitors.com/</x:v>
      </x:c>
      <x:c r="H5" s="18" t="str"/>
      <x:c r="I5" s="18" t="str"/>
      <x:c r="J5" s="18" t="str"/>
      <x:c r="K5" s="18" t="str">
        <x:v>Queued</x:v>
      </x:c>
      <x:c r="L5" s="18" t="str">
        <x:v>Useful ordinary regional-firm control.</x:v>
      </x:c>
    </x:row>
    <x:row r="6">
      <x:c r="A6" s="18" t="n">
        <x:v>5</x:v>
      </x:c>
      <x:c r="B6" s="18" t="str">
        <x:v>Kitson Boyce</x:v>
      </x:c>
      <x:c r="C6" s="18" t="str">
        <x:v>South West</x:v>
      </x:c>
      <x:c r="D6" s="18" t="str">
        <x:v>Torquay / Exeter / Plymouth</x:v>
      </x:c>
      <x:c r="E6" s="18" t="str">
        <x:v>Medium/Large</x:v>
      </x:c>
      <x:c r="F6" s="18" t="str">
        <x:v>Gold benchmark</x:v>
      </x:c>
      <x:c r="G6" s="18" t="str">
        <x:v>https://www.kitsonboyce.co.uk/</x:v>
      </x:c>
      <x:c r="H6" s="18" t="str">
        <x:v>Probate / Employment</x:v>
      </x:c>
      <x:c r="I6" s="18" t="str">
        <x:v>https://www.kitsonboyce.co.uk/pricing/</x:v>
      </x:c>
      <x:c r="J6" s="18" t="str">
        <x:v>https://www.kitsonboyce.co.uk/complaints/</x:v>
      </x:c>
      <x:c r="K6" s="18" t="str">
        <x:v>Benchmarked</x:v>
      </x:c>
      <x:c r="L6" s="18" t="str">
        <x:v>Central pricing hub with multiple service-specific pages.</x:v>
      </x:c>
    </x:row>
    <x:row r="7">
      <x:c r="A7" s="18" t="n">
        <x:v>6</x:v>
      </x:c>
      <x:c r="B7" s="18" t="str">
        <x:v>Tozers</x:v>
      </x:c>
      <x:c r="C7" s="18" t="str">
        <x:v>South West</x:v>
      </x:c>
      <x:c r="D7" s="18" t="str">
        <x:v>Exeter</x:v>
      </x:c>
      <x:c r="E7" s="18" t="str">
        <x:v>Medium</x:v>
      </x:c>
      <x:c r="F7" s="18" t="str">
        <x:v>Gold benchmark</x:v>
      </x:c>
      <x:c r="G7" s="18" t="str">
        <x:v>https://www.tozers.co.uk/</x:v>
      </x:c>
      <x:c r="H7" s="18" t="str">
        <x:v>Conveyancing / Probate</x:v>
      </x:c>
      <x:c r="I7" s="18" t="str">
        <x:v>https://www.tozers.co.uk/about/charges-fees/</x:v>
      </x:c>
      <x:c r="J7" s="18" t="str">
        <x:v>https://www.tozers.co.uk/help/complaints/</x:v>
      </x:c>
      <x:c r="K7" s="18" t="str">
        <x:v>Benchmarked</x:v>
      </x:c>
      <x:c r="L7" s="18" t="str">
        <x:v>Strong structured pricing; good positive-control site.</x:v>
      </x:c>
    </x:row>
    <x:row r="8">
      <x:c r="A8" s="18" t="n">
        <x:v>7</x:v>
      </x:c>
      <x:c r="B8" s="18" t="str">
        <x:v>Stephens Scown</x:v>
      </x:c>
      <x:c r="C8" s="18" t="str">
        <x:v>South West</x:v>
      </x:c>
      <x:c r="D8" s="18" t="str">
        <x:v>Devon / Cornwall</x:v>
      </x:c>
      <x:c r="E8" s="18" t="str">
        <x:v>Large regional</x:v>
      </x:c>
      <x:c r="F8" s="18" t="str">
        <x:v>Gold benchmark</x:v>
      </x:c>
      <x:c r="G8" s="18" t="str">
        <x:v>https://www.stephens-scown.co.uk/</x:v>
      </x:c>
      <x:c r="H8" s="18" t="str">
        <x:v>Probate / Conveyancing / Employment</x:v>
      </x:c>
      <x:c r="I8" s="18" t="str">
        <x:v>https://www.stephens-scown.co.uk/about-us/pricing/</x:v>
      </x:c>
      <x:c r="J8" s="18" t="str">
        <x:v>https://www.stephens-scown.co.uk/legal-notices/complaints-procedure/</x:v>
      </x:c>
      <x:c r="K8" s="18" t="str">
        <x:v>Benchmarked</x:v>
      </x:c>
      <x:c r="L8" s="18" t="str">
        <x:v>Multiple pricing guides; PDF and HTML mix.</x:v>
      </x:c>
    </x:row>
    <x:row r="9">
      <x:c r="A9" s="18" t="n">
        <x:v>8</x:v>
      </x:c>
      <x:c r="B9" s="18" t="str">
        <x:v>Barcan+Kirby</x:v>
      </x:c>
      <x:c r="C9" s="18" t="str">
        <x:v>South West</x:v>
      </x:c>
      <x:c r="D9" s="18" t="str">
        <x:v>Bristol</x:v>
      </x:c>
      <x:c r="E9" s="18" t="str">
        <x:v>Medium/Large</x:v>
      </x:c>
      <x:c r="F9" s="18" t="str">
        <x:v>Gold benchmark</x:v>
      </x:c>
      <x:c r="G9" s="18" t="str">
        <x:v>https://barcankirby.co.uk/</x:v>
      </x:c>
      <x:c r="H9" s="18" t="str">
        <x:v>Probate / Conveyancing</x:v>
      </x:c>
      <x:c r="I9" s="18" t="str">
        <x:v>https://barcankirby.co.uk/legal-services/for-you-and-your-family/probate-estate-administration/pricing-staff-information-for-probate/</x:v>
      </x:c>
      <x:c r="J9" s="18" t="str">
        <x:v>https://barcankirby.co.uk/help/complaints/</x:v>
      </x:c>
      <x:c r="K9" s="18" t="str">
        <x:v>Benchmarked</x:v>
      </x:c>
      <x:c r="L9" s="18" t="str">
        <x:v>Detailed price + staff information; strong positive benchmark.</x:v>
      </x:c>
    </x:row>
    <x:row r="10">
      <x:c r="A10" s="18" t="n">
        <x:v>9</x:v>
      </x:c>
      <x:c r="B10" s="18" t="str">
        <x:v>Battrick Clark</x:v>
      </x:c>
      <x:c r="C10" s="18" t="str">
        <x:v>South West</x:v>
      </x:c>
      <x:c r="D10" s="18" t="str">
        <x:v>Bristol</x:v>
      </x:c>
      <x:c r="E10" s="18" t="str">
        <x:v>Small/Medium</x:v>
      </x:c>
      <x:c r="F10" s="18" t="str">
        <x:v>General cohort</x:v>
      </x:c>
      <x:c r="G10" s="18" t="str">
        <x:v>https://www.battrickclark.co.uk/</x:v>
      </x:c>
      <x:c r="H10" s="18" t="str">
        <x:v>Probate</x:v>
      </x:c>
      <x:c r="I10" s="18" t="str">
        <x:v>https://www.battrickclark.co.uk/wills-probate/probate-fees/</x:v>
      </x:c>
      <x:c r="J10" s="18" t="str">
        <x:v>https://www.battrickclark.co.uk/contact/battrick-clark-complaints-handling-procedure/</x:v>
      </x:c>
      <x:c r="K10" s="18" t="str">
        <x:v>Queued</x:v>
      </x:c>
      <x:c r="L10" s="18" t="str">
        <x:v>Simpler price tables; useful small-firm benchmark.</x:v>
      </x:c>
    </x:row>
    <x:row r="11">
      <x:c r="A11" s="18" t="n">
        <x:v>10</x:v>
      </x:c>
      <x:c r="B11" s="18" t="str">
        <x:v>Mayo Wynne Baxter</x:v>
      </x:c>
      <x:c r="C11" s="18" t="str">
        <x:v>South East</x:v>
      </x:c>
      <x:c r="D11" s="18" t="str">
        <x:v>Sussex</x:v>
      </x:c>
      <x:c r="E11" s="18" t="str">
        <x:v>Large regional</x:v>
      </x:c>
      <x:c r="F11" s="18" t="str">
        <x:v>Gold benchmark</x:v>
      </x:c>
      <x:c r="G11" s="18" t="str">
        <x:v>https://www.mayowynnebaxter.co.uk/</x:v>
      </x:c>
      <x:c r="H11" s="18" t="str">
        <x:v>Conveyancing / Probate / Employment</x:v>
      </x:c>
      <x:c r="I11" s="18" t="str">
        <x:v>https://www.mayowynnebaxter.co.uk/about-us/pricing/</x:v>
      </x:c>
      <x:c r="J11" s="18" t="str">
        <x:v>https://www.mayowynnebaxter.co.uk/complaints/</x:v>
      </x:c>
      <x:c r="K11" s="18" t="str">
        <x:v>Benchmarked</x:v>
      </x:c>
      <x:c r="L11" s="18" t="str">
        <x:v>Long mixed pricing page; useful semantic extraction test.</x:v>
      </x:c>
    </x:row>
    <x:row r="12">
      <x:c r="A12" s="18" t="n">
        <x:v>11</x:v>
      </x:c>
      <x:c r="B12" s="18" t="str">
        <x:v>Dean Wilson LLP</x:v>
      </x:c>
      <x:c r="C12" s="18" t="str">
        <x:v>South East</x:v>
      </x:c>
      <x:c r="D12" s="18" t="str">
        <x:v>Brighton</x:v>
      </x:c>
      <x:c r="E12" s="18" t="str">
        <x:v>Medium</x:v>
      </x:c>
      <x:c r="F12" s="18" t="str">
        <x:v>Gold benchmark</x:v>
      </x:c>
      <x:c r="G12" s="18" t="str">
        <x:v>https://deanwilson.co.uk/</x:v>
      </x:c>
      <x:c r="H12" s="18" t="str">
        <x:v>Conveyancing / Probate / Employment / Debt / Licensing</x:v>
      </x:c>
      <x:c r="I12" s="18" t="str">
        <x:v>https://deanwilson.co.uk/pricing-information</x:v>
      </x:c>
      <x:c r="J12" s="18" t="str"/>
      <x:c r="K12" s="18" t="str">
        <x:v>Benchmarked</x:v>
      </x:c>
      <x:c r="L12" s="18" t="str">
        <x:v>Strong pricing hub; complaints link discoverable from footer/contact.</x:v>
      </x:c>
    </x:row>
    <x:row r="13">
      <x:c r="A13" s="18" t="n">
        <x:v>12</x:v>
      </x:c>
      <x:c r="B13" s="18" t="str">
        <x:v>Burt Brill &amp; Cardens</x:v>
      </x:c>
      <x:c r="C13" s="18" t="str">
        <x:v>South East</x:v>
      </x:c>
      <x:c r="D13" s="18" t="str">
        <x:v>Brighton</x:v>
      </x:c>
      <x:c r="E13" s="18" t="str">
        <x:v>Small/Medium</x:v>
      </x:c>
      <x:c r="F13" s="18" t="str">
        <x:v>General cohort</x:v>
      </x:c>
      <x:c r="G13" s="18" t="str">
        <x:v>https://bbc-law.co.uk/</x:v>
      </x:c>
      <x:c r="H13" s="18" t="str">
        <x:v>Conveyancing / Probate</x:v>
      </x:c>
      <x:c r="I13" s="18" t="str">
        <x:v>https://bbc-law.co.uk/pricing-and-fees/</x:v>
      </x:c>
      <x:c r="J13" s="18" t="str"/>
      <x:c r="K13" s="18" t="str">
        <x:v>Queued</x:v>
      </x:c>
      <x:c r="L13" s="18" t="str">
        <x:v>Narrative pricing rather than SRA-style table; good semantic case.</x:v>
      </x:c>
    </x:row>
    <x:row r="14">
      <x:c r="A14" s="18" t="n">
        <x:v>13</x:v>
      </x:c>
      <x:c r="B14" s="18" t="str">
        <x:v>Trethowans</x:v>
      </x:c>
      <x:c r="C14" s="18" t="str">
        <x:v>South East</x:v>
      </x:c>
      <x:c r="D14" s="18" t="str">
        <x:v>Southampton / Salisbury</x:v>
      </x:c>
      <x:c r="E14" s="18" t="str">
        <x:v>Large regional</x:v>
      </x:c>
      <x:c r="F14" s="18" t="str">
        <x:v>Edge/complex</x:v>
      </x:c>
      <x:c r="G14" s="18" t="str">
        <x:v>https://www.trethowans.com/</x:v>
      </x:c>
      <x:c r="H14" s="18" t="str">
        <x:v>Probate / Conveyancing / Employment / Debt / Immigration</x:v>
      </x:c>
      <x:c r="I14" s="18" t="str">
        <x:v>https://www.trethowans.com/about/how-we-charge/</x:v>
      </x:c>
      <x:c r="J14" s="18" t="str"/>
      <x:c r="K14" s="18" t="str">
        <x:v>Queued</x:v>
      </x:c>
      <x:c r="L14" s="18" t="str">
        <x:v>Pricing hub plus terms PDF; useful multi-service case.</x:v>
      </x:c>
    </x:row>
    <x:row r="15">
      <x:c r="A15" s="18" t="n">
        <x:v>14</x:v>
      </x:c>
      <x:c r="B15" s="18" t="str">
        <x:v>Moore Barlow</x:v>
      </x:c>
      <x:c r="C15" s="18" t="str">
        <x:v>South East</x:v>
      </x:c>
      <x:c r="D15" s="18" t="str">
        <x:v>Hampshire / Surrey</x:v>
      </x:c>
      <x:c r="E15" s="18" t="str">
        <x:v>Large regional</x:v>
      </x:c>
      <x:c r="F15" s="18" t="str">
        <x:v>Edge/complex</x:v>
      </x:c>
      <x:c r="G15" s="18" t="str">
        <x:v>https://www.moorebarlow.com/</x:v>
      </x:c>
      <x:c r="H15" s="18" t="str">
        <x:v>Conveyancing / Probate / Employment</x:v>
      </x:c>
      <x:c r="I15" s="18" t="str">
        <x:v>https://www.moorebarlow.com/pricing-and-services/</x:v>
      </x:c>
      <x:c r="J15" s="18" t="str">
        <x:v>https://www.moorebarlow.com/complaints/</x:v>
      </x:c>
      <x:c r="K15" s="18" t="str">
        <x:v>Queued</x:v>
      </x:c>
      <x:c r="L15" s="18" t="str">
        <x:v>Large site; central pricing and complaints pages.</x:v>
      </x:c>
    </x:row>
    <x:row r="16">
      <x:c r="A16" s="18" t="n">
        <x:v>15</x:v>
      </x:c>
      <x:c r="B16" s="18" t="str">
        <x:v>Biscoes Solicitors</x:v>
      </x:c>
      <x:c r="C16" s="18" t="str">
        <x:v>South East</x:v>
      </x:c>
      <x:c r="D16" s="18" t="str">
        <x:v>Portsmouth</x:v>
      </x:c>
      <x:c r="E16" s="18" t="str">
        <x:v>Medium</x:v>
      </x:c>
      <x:c r="F16" s="18" t="str">
        <x:v>General cohort</x:v>
      </x:c>
      <x:c r="G16" s="18" t="str">
        <x:v>https://www.biscoes-law.co.uk/</x:v>
      </x:c>
      <x:c r="H16" s="18" t="str"/>
      <x:c r="I16" s="18" t="str"/>
      <x:c r="J16" s="18" t="str"/>
      <x:c r="K16" s="18" t="str">
        <x:v>Queued</x:v>
      </x:c>
      <x:c r="L16" s="18" t="str">
        <x:v>Regional control; manual discovery target.</x:v>
      </x:c>
    </x:row>
    <x:row r="17">
      <x:c r="A17" s="18" t="n">
        <x:v>16</x:v>
      </x:c>
      <x:c r="B17" s="18" t="str">
        <x:v>Ware &amp; Kay</x:v>
      </x:c>
      <x:c r="C17" s="18" t="str">
        <x:v>Yorkshire</x:v>
      </x:c>
      <x:c r="D17" s="18" t="str">
        <x:v>York / Wetherby / Malton</x:v>
      </x:c>
      <x:c r="E17" s="18" t="str">
        <x:v>Medium</x:v>
      </x:c>
      <x:c r="F17" s="18" t="str">
        <x:v>Gold benchmark</x:v>
      </x:c>
      <x:c r="G17" s="18" t="str">
        <x:v>https://www.warekay.co.uk/</x:v>
      </x:c>
      <x:c r="H17" s="18" t="str">
        <x:v>Conveyancing / Probate / Employment</x:v>
      </x:c>
      <x:c r="I17" s="18" t="str">
        <x:v>https://www.warekay.co.uk/costs-transparency</x:v>
      </x:c>
      <x:c r="J17" s="18" t="str">
        <x:v>https://www.warekay.co.uk/complaints/</x:v>
      </x:c>
      <x:c r="K17" s="18" t="str">
        <x:v>Benchmarked</x:v>
      </x:c>
      <x:c r="L17" s="18" t="str">
        <x:v>Clear transparency hub and complaints page.</x:v>
      </x:c>
    </x:row>
    <x:row r="18">
      <x:c r="A18" s="18" t="n">
        <x:v>17</x:v>
      </x:c>
      <x:c r="B18" s="18" t="str">
        <x:v>Hethertons</x:v>
      </x:c>
      <x:c r="C18" s="18" t="str">
        <x:v>Yorkshire</x:v>
      </x:c>
      <x:c r="D18" s="18" t="str">
        <x:v>York / Boroughbridge</x:v>
      </x:c>
      <x:c r="E18" s="18" t="str">
        <x:v>Medium</x:v>
      </x:c>
      <x:c r="F18" s="18" t="str">
        <x:v>Gold benchmark</x:v>
      </x:c>
      <x:c r="G18" s="18" t="str">
        <x:v>https://www.hethertons.co.uk/</x:v>
      </x:c>
      <x:c r="H18" s="18" t="str">
        <x:v>Conveyancing / Probate / Employment</x:v>
      </x:c>
      <x:c r="I18" s="18" t="str">
        <x:v>https://www.hethertons.co.uk/pricing-residential-property/</x:v>
      </x:c>
      <x:c r="J18" s="18" t="str"/>
      <x:c r="K18" s="18" t="str">
        <x:v>Benchmarked</x:v>
      </x:c>
      <x:c r="L18" s="18" t="str">
        <x:v>Highly structured SRA-style pricing tables; excellent gold control.</x:v>
      </x:c>
    </x:row>
    <x:row r="19">
      <x:c r="A19" s="18" t="n">
        <x:v>18</x:v>
      </x:c>
      <x:c r="B19" s="18" t="str">
        <x:v>Harrowells</x:v>
      </x:c>
      <x:c r="C19" s="18" t="str">
        <x:v>Yorkshire</x:v>
      </x:c>
      <x:c r="D19" s="18" t="str">
        <x:v>York</x:v>
      </x:c>
      <x:c r="E19" s="18" t="str">
        <x:v>Medium/Large</x:v>
      </x:c>
      <x:c r="F19" s="18" t="str">
        <x:v>Gold benchmark</x:v>
      </x:c>
      <x:c r="G19" s="18" t="str">
        <x:v>https://www.harrowells.co.uk/</x:v>
      </x:c>
      <x:c r="H19" s="18" t="str">
        <x:v>Conveyancing / Probate / Employment</x:v>
      </x:c>
      <x:c r="I19" s="18" t="str">
        <x:v>https://www.harrowells.co.uk/site/pricing/</x:v>
      </x:c>
      <x:c r="J19" s="18" t="str"/>
      <x:c r="K19" s="18" t="str">
        <x:v>Benchmarked</x:v>
      </x:c>
      <x:c r="L19" s="18" t="str">
        <x:v>Hub explicitly links price, stages, timescales and staff experience.</x:v>
      </x:c>
    </x:row>
    <x:row r="20">
      <x:c r="A20" s="18" t="n">
        <x:v>19</x:v>
      </x:c>
      <x:c r="B20" s="18" t="str">
        <x:v>Guest Walker</x:v>
      </x:c>
      <x:c r="C20" s="18" t="str">
        <x:v>Yorkshire</x:v>
      </x:c>
      <x:c r="D20" s="18" t="str">
        <x:v>York</x:v>
      </x:c>
      <x:c r="E20" s="18" t="str">
        <x:v>Small/Medium</x:v>
      </x:c>
      <x:c r="F20" s="18" t="str">
        <x:v>General cohort</x:v>
      </x:c>
      <x:c r="G20" s="18" t="str">
        <x:v>https://www.guestwalker.co.uk/</x:v>
      </x:c>
      <x:c r="H20" s="18" t="str">
        <x:v>Conveyancing / Probate</x:v>
      </x:c>
      <x:c r="I20" s="18" t="str">
        <x:v>https://www.guestwalker.co.uk/feestransparency/</x:v>
      </x:c>
      <x:c r="J20" s="18" t="str"/>
      <x:c r="K20" s="18" t="str">
        <x:v>Queued</x:v>
      </x:c>
      <x:c r="L20" s="18" t="str">
        <x:v>Long-form transparency page rather than modular rule blocks.</x:v>
      </x:c>
    </x:row>
    <x:row r="21">
      <x:c r="A21" s="18" t="n">
        <x:v>20</x:v>
      </x:c>
      <x:c r="B21" s="18" t="str">
        <x:v>Blacks Solicitors</x:v>
      </x:c>
      <x:c r="C21" s="18" t="str">
        <x:v>Yorkshire</x:v>
      </x:c>
      <x:c r="D21" s="18" t="str">
        <x:v>Leeds</x:v>
      </x:c>
      <x:c r="E21" s="18" t="str">
        <x:v>Large regional</x:v>
      </x:c>
      <x:c r="F21" s="18" t="str">
        <x:v>General cohort</x:v>
      </x:c>
      <x:c r="G21" s="18" t="str">
        <x:v>https://www.lawblacks.com/</x:v>
      </x:c>
      <x:c r="H21" s="18" t="str">
        <x:v>Conveyancing / Probate / Employment / Debt</x:v>
      </x:c>
      <x:c r="I21" s="18" t="str">
        <x:v>https://www.lawblacks.com/pricing</x:v>
      </x:c>
      <x:c r="J21" s="18" t="str"/>
      <x:c r="K21" s="18" t="str">
        <x:v>Queued</x:v>
      </x:c>
      <x:c r="L21" s="18" t="str">
        <x:v>Modern pricing hub with linked service pages.</x:v>
      </x:c>
    </x:row>
    <x:row r="22">
      <x:c r="A22" s="18" t="n">
        <x:v>21</x:v>
      </x:c>
      <x:c r="B22" s="18" t="str">
        <x:v>Winston Solicitors</x:v>
      </x:c>
      <x:c r="C22" s="18" t="str">
        <x:v>Yorkshire</x:v>
      </x:c>
      <x:c r="D22" s="18" t="str">
        <x:v>Leeds</x:v>
      </x:c>
      <x:c r="E22" s="18" t="str">
        <x:v>Medium</x:v>
      </x:c>
      <x:c r="F22" s="18" t="str">
        <x:v>Gold benchmark</x:v>
      </x:c>
      <x:c r="G22" s="18" t="str">
        <x:v>https://www.winstonsolicitors.co.uk/</x:v>
      </x:c>
      <x:c r="H22" s="18" t="str">
        <x:v>Probate / Conveyancing</x:v>
      </x:c>
      <x:c r="I22" s="18" t="str">
        <x:v>https://www.winstonsolicitors.co.uk/wills-trusts-probate/will-lpa-trust-probate-pricing</x:v>
      </x:c>
      <x:c r="J22" s="18" t="str">
        <x:v>https://www.winstonsolicitors.co.uk/complaints</x:v>
      </x:c>
      <x:c r="K22" s="18" t="str">
        <x:v>Benchmarked</x:v>
      </x:c>
      <x:c r="L22" s="18" t="str">
        <x:v>Detailed probate content plus accessible complaints page.</x:v>
      </x:c>
    </x:row>
    <x:row r="23">
      <x:c r="A23" s="18" t="n">
        <x:v>22</x:v>
      </x:c>
      <x:c r="B23" s="18" t="str">
        <x:v>John Howe &amp; Co</x:v>
      </x:c>
      <x:c r="C23" s="18" t="str">
        <x:v>Yorkshire</x:v>
      </x:c>
      <x:c r="D23" s="18" t="str">
        <x:v>Leeds</x:v>
      </x:c>
      <x:c r="E23" s="18" t="str">
        <x:v>Small</x:v>
      </x:c>
      <x:c r="F23" s="18" t="str">
        <x:v>General cohort</x:v>
      </x:c>
      <x:c r="G23" s="18" t="str">
        <x:v>https://www.jhowe.co.uk/</x:v>
      </x:c>
      <x:c r="H23" s="18" t="str">
        <x:v>Probate / Conveyancing</x:v>
      </x:c>
      <x:c r="I23" s="18" t="str">
        <x:v>https://www.jhowe.co.uk/services/services-and-costs-information</x:v>
      </x:c>
      <x:c r="J23" s="18" t="str"/>
      <x:c r="K23" s="18" t="str">
        <x:v>Queued</x:v>
      </x:c>
      <x:c r="L23" s="18" t="str">
        <x:v>Compact site; good small-firm control.</x:v>
      </x:c>
    </x:row>
    <x:row r="24">
      <x:c r="A24" s="18" t="n">
        <x:v>23</x:v>
      </x:c>
      <x:c r="B24" s="18" t="str">
        <x:v>Tilly Bailey &amp; Irvine</x:v>
      </x:c>
      <x:c r="C24" s="18" t="str">
        <x:v>North East</x:v>
      </x:c>
      <x:c r="D24" s="18" t="str">
        <x:v>Hartlepool / Stockton / Sunderland</x:v>
      </x:c>
      <x:c r="E24" s="18" t="str">
        <x:v>Large regional</x:v>
      </x:c>
      <x:c r="F24" s="18" t="str">
        <x:v>Gold benchmark</x:v>
      </x:c>
      <x:c r="G24" s="18" t="str">
        <x:v>https://www.tbilaw.co.uk/</x:v>
      </x:c>
      <x:c r="H24" s="18" t="str">
        <x:v>Conveyancing / Probate / Employment / Debt / Motoring</x:v>
      </x:c>
      <x:c r="I24" s="18" t="str">
        <x:v>https://www.tbilaw.co.uk/pricing/</x:v>
      </x:c>
      <x:c r="J24" s="18" t="str">
        <x:v>https://www.tbilaw.co.uk/complaints-procedure/</x:v>
      </x:c>
      <x:c r="K24" s="18" t="str">
        <x:v>Benchmarked</x:v>
      </x:c>
      <x:c r="L24" s="18" t="str">
        <x:v>Many applicable SRA services; good rule-pack stress test.</x:v>
      </x:c>
    </x:row>
    <x:row r="25">
      <x:c r="A25" s="18" t="n">
        <x:v>24</x:v>
      </x:c>
      <x:c r="B25" s="18" t="str">
        <x:v>Sintons</x:v>
      </x:c>
      <x:c r="C25" s="18" t="str">
        <x:v>North East</x:v>
      </x:c>
      <x:c r="D25" s="18" t="str">
        <x:v>Newcastle / York / Leeds / London</x:v>
      </x:c>
      <x:c r="E25" s="18" t="str">
        <x:v>Large regional</x:v>
      </x:c>
      <x:c r="F25" s="18" t="str">
        <x:v>Edge/complex</x:v>
      </x:c>
      <x:c r="G25" s="18" t="str">
        <x:v>https://sintons.co.uk/</x:v>
      </x:c>
      <x:c r="H25" s="18" t="str">
        <x:v>Probate</x:v>
      </x:c>
      <x:c r="I25" s="18" t="str">
        <x:v>https://sintons.co.uk/pricing/</x:v>
      </x:c>
      <x:c r="J25" s="18" t="str"/>
      <x:c r="K25" s="18" t="str">
        <x:v>Queued</x:v>
      </x:c>
      <x:c r="L25" s="18" t="str">
        <x:v>Multi-office; multiple pricing pathways.</x:v>
      </x:c>
    </x:row>
    <x:row r="26">
      <x:c r="A26" s="18" t="n">
        <x:v>25</x:v>
      </x:c>
      <x:c r="B26" s="18" t="str">
        <x:v>Rachel Sebastian &amp; Co</x:v>
      </x:c>
      <x:c r="C26" s="18" t="str">
        <x:v>North East</x:v>
      </x:c>
      <x:c r="D26" s="18" t="str">
        <x:v>Newcastle</x:v>
      </x:c>
      <x:c r="E26" s="18" t="str">
        <x:v>Small</x:v>
      </x:c>
      <x:c r="F26" s="18" t="str">
        <x:v>General cohort</x:v>
      </x:c>
      <x:c r="G26" s="18" t="str">
        <x:v>https://www.rslegal.co.uk/</x:v>
      </x:c>
      <x:c r="H26" s="18" t="str">
        <x:v>Probate / Conveyancing</x:v>
      </x:c>
      <x:c r="I26" s="18" t="str">
        <x:v>https://www.rslegal.co.uk/probate.html</x:v>
      </x:c>
      <x:c r="J26" s="18" t="str"/>
      <x:c r="K26" s="18" t="str">
        <x:v>Queued</x:v>
      </x:c>
      <x:c r="L26" s="18" t="str">
        <x:v>Older-style site; useful HTML robustness case.</x:v>
      </x:c>
    </x:row>
    <x:row r="27">
      <x:c r="A27" s="18" t="n">
        <x:v>26</x:v>
      </x:c>
      <x:c r="B27" s="18" t="str">
        <x:v>Minahan Hirst &amp; Co</x:v>
      </x:c>
      <x:c r="C27" s="18" t="str">
        <x:v>North East</x:v>
      </x:c>
      <x:c r="D27" s="18" t="str">
        <x:v>Newcastle</x:v>
      </x:c>
      <x:c r="E27" s="18" t="str">
        <x:v>Small</x:v>
      </x:c>
      <x:c r="F27" s="18" t="str">
        <x:v>General cohort</x:v>
      </x:c>
      <x:c r="G27" s="18" t="str">
        <x:v>https://www.minahan-hirst.co.uk/</x:v>
      </x:c>
      <x:c r="H27" s="18" t="str">
        <x:v>Probate</x:v>
      </x:c>
      <x:c r="I27" s="18" t="str">
        <x:v>https://www.minahan-hirst.co.uk/probate-and-estates</x:v>
      </x:c>
      <x:c r="J27" s="18" t="str"/>
      <x:c r="K27" s="18" t="str">
        <x:v>Queued</x:v>
      </x:c>
      <x:c r="L27" s="18" t="str">
        <x:v>Simple site; strong price details in page body.</x:v>
      </x:c>
    </x:row>
    <x:row r="28">
      <x:c r="A28" s="18" t="n">
        <x:v>27</x:v>
      </x:c>
      <x:c r="B28" s="18" t="str">
        <x:v>Fieldings Porter</x:v>
      </x:c>
      <x:c r="C28" s="18" t="str">
        <x:v>North West</x:v>
      </x:c>
      <x:c r="D28" s="18" t="str">
        <x:v>Manchester / Bolton</x:v>
      </x:c>
      <x:c r="E28" s="18" t="str">
        <x:v>Medium</x:v>
      </x:c>
      <x:c r="F28" s="18" t="str">
        <x:v>Gold benchmark</x:v>
      </x:c>
      <x:c r="G28" s="18" t="str">
        <x:v>https://www.fieldingsporter.co.uk/</x:v>
      </x:c>
      <x:c r="H28" s="18" t="str">
        <x:v>Conveyancing / Probate</x:v>
      </x:c>
      <x:c r="I28" s="18" t="str">
        <x:v>https://www.fieldingsporter.co.uk/site/pricing/probate-pricing/</x:v>
      </x:c>
      <x:c r="J28" s="18" t="str">
        <x:v>https://www.fieldingsporter.co.uk/site/help/complaints/</x:v>
      </x:c>
      <x:c r="K28" s="18" t="str">
        <x:v>Benchmarked</x:v>
      </x:c>
      <x:c r="L28" s="18" t="str">
        <x:v>Calculator-linked conveyancing plus traditional pricing pages.</x:v>
      </x:c>
    </x:row>
    <x:row r="29">
      <x:c r="A29" s="18" t="n">
        <x:v>28</x:v>
      </x:c>
      <x:c r="B29" s="18" t="str">
        <x:v>Private Client Solicitors</x:v>
      </x:c>
      <x:c r="C29" s="18" t="str">
        <x:v>North West</x:v>
      </x:c>
      <x:c r="D29" s="18" t="str">
        <x:v>Manchester</x:v>
      </x:c>
      <x:c r="E29" s="18" t="str">
        <x:v>Small specialist</x:v>
      </x:c>
      <x:c r="F29" s="18" t="str">
        <x:v>General cohort</x:v>
      </x:c>
      <x:c r="G29" s="18" t="str">
        <x:v>https://www.privateclientsolicitors.co.uk/</x:v>
      </x:c>
      <x:c r="H29" s="18" t="str">
        <x:v>Probate</x:v>
      </x:c>
      <x:c r="I29" s="18" t="str">
        <x:v>https://www.privateclientsolicitors.co.uk/service/price-transparency/</x:v>
      </x:c>
      <x:c r="J29" s="18" t="str"/>
      <x:c r="K29" s="18" t="str">
        <x:v>Queued</x:v>
      </x:c>
      <x:c r="L29" s="18" t="str">
        <x:v>Specialist niche site; useful narrow-practice control.</x:v>
      </x:c>
    </x:row>
    <x:row r="30">
      <x:c r="A30" s="18" t="n">
        <x:v>29</x:v>
      </x:c>
      <x:c r="B30" s="18" t="str">
        <x:v>Slater Heelis</x:v>
      </x:c>
      <x:c r="C30" s="18" t="str">
        <x:v>North West</x:v>
      </x:c>
      <x:c r="D30" s="18" t="str">
        <x:v>Manchester / Sale</x:v>
      </x:c>
      <x:c r="E30" s="18" t="str">
        <x:v>Large regional</x:v>
      </x:c>
      <x:c r="F30" s="18" t="str">
        <x:v>Edge/complex</x:v>
      </x:c>
      <x:c r="G30" s="18" t="str">
        <x:v>https://www.slaterheelis.co.uk/</x:v>
      </x:c>
      <x:c r="H30" s="18" t="str">
        <x:v>Conveyancing / Probate</x:v>
      </x:c>
      <x:c r="I30" s="18" t="str">
        <x:v>https://www.slaterheelis.co.uk/our-fees/</x:v>
      </x:c>
      <x:c r="J30" s="18" t="str"/>
      <x:c r="K30" s="18" t="str">
        <x:v>Queued</x:v>
      </x:c>
      <x:c r="L30" s="18" t="str">
        <x:v>Online conveyancing calculator; test quote-generator detection.</x:v>
      </x:c>
    </x:row>
    <x:row r="31">
      <x:c r="A31" s="18" t="n">
        <x:v>30</x:v>
      </x:c>
      <x:c r="B31" s="18" t="str">
        <x:v>Stephensons Solicitors</x:v>
      </x:c>
      <x:c r="C31" s="18" t="str">
        <x:v>North West</x:v>
      </x:c>
      <x:c r="D31" s="18" t="str">
        <x:v>Wigan / Manchester / London</x:v>
      </x:c>
      <x:c r="E31" s="18" t="str">
        <x:v>Large regional</x:v>
      </x:c>
      <x:c r="F31" s="18" t="str">
        <x:v>Edge/complex</x:v>
      </x:c>
      <x:c r="G31" s="18" t="str">
        <x:v>https://www.stephensons.co.uk/</x:v>
      </x:c>
      <x:c r="H31" s="18" t="str">
        <x:v>Probate / Conveyancing / Employment / Motoring</x:v>
      </x:c>
      <x:c r="I31" s="18" t="str">
        <x:v>https://www.stephensons.co.uk/site/individuals/srvwealth/probate_estate_administration/wlthestates/</x:v>
      </x:c>
      <x:c r="J31" s="18" t="str"/>
      <x:c r="K31" s="18" t="str">
        <x:v>Queued</x:v>
      </x:c>
      <x:c r="L31" s="18" t="str">
        <x:v>Large legacy site with long detailed pricing content.</x:v>
      </x:c>
    </x:row>
    <x:row r="32">
      <x:c r="A32" s="18" t="n">
        <x:v>31</x:v>
      </x:c>
      <x:c r="B32" s="18" t="str">
        <x:v>Guy Williams Layton</x:v>
      </x:c>
      <x:c r="C32" s="18" t="str">
        <x:v>North West</x:v>
      </x:c>
      <x:c r="D32" s="18" t="str">
        <x:v>Liverpool / Wirral</x:v>
      </x:c>
      <x:c r="E32" s="18" t="str">
        <x:v>Medium</x:v>
      </x:c>
      <x:c r="F32" s="18" t="str">
        <x:v>General cohort</x:v>
      </x:c>
      <x:c r="G32" s="18" t="str">
        <x:v>https://gwl.co.uk/</x:v>
      </x:c>
      <x:c r="H32" s="18" t="str">
        <x:v>Conveyancing / Probate / Debt</x:v>
      </x:c>
      <x:c r="I32" s="18" t="str">
        <x:v>https://gwl.co.uk/our-pricing-commitment-to-you/</x:v>
      </x:c>
      <x:c r="J32" s="18" t="str"/>
      <x:c r="K32" s="18" t="str">
        <x:v>Queued</x:v>
      </x:c>
      <x:c r="L32" s="18" t="str">
        <x:v>Accordion/dropdown pricing content; good UI-structure test.</x:v>
      </x:c>
    </x:row>
    <x:row r="33">
      <x:c r="A33" s="18" t="n">
        <x:v>32</x:v>
      </x:c>
      <x:c r="B33" s="18" t="str">
        <x:v>Morecrofts</x:v>
      </x:c>
      <x:c r="C33" s="18" t="str">
        <x:v>North West</x:v>
      </x:c>
      <x:c r="D33" s="18" t="str">
        <x:v>Liverpool</x:v>
      </x:c>
      <x:c r="E33" s="18" t="str">
        <x:v>Medium/Large</x:v>
      </x:c>
      <x:c r="F33" s="18" t="str">
        <x:v>General cohort</x:v>
      </x:c>
      <x:c r="G33" s="18" t="str">
        <x:v>https://www.morecrofts.co.uk/</x:v>
      </x:c>
      <x:c r="H33" s="18" t="str">
        <x:v>Multiple</x:v>
      </x:c>
      <x:c r="I33" s="18" t="str">
        <x:v>https://www.morecrofts.co.uk/fees-costs/</x:v>
      </x:c>
      <x:c r="J33" s="18" t="str"/>
      <x:c r="K33" s="18" t="str">
        <x:v>Queued</x:v>
      </x:c>
      <x:c r="L33" s="18" t="str">
        <x:v>Generic fees page may require service-specific discovery.</x:v>
      </x:c>
    </x:row>
    <x:row r="34">
      <x:c r="A34" s="18" t="n">
        <x:v>33</x:v>
      </x:c>
      <x:c r="B34" s="18" t="str">
        <x:v>MSB Solicitors</x:v>
      </x:c>
      <x:c r="C34" s="18" t="str">
        <x:v>North West</x:v>
      </x:c>
      <x:c r="D34" s="18" t="str">
        <x:v>Liverpool</x:v>
      </x:c>
      <x:c r="E34" s="18" t="str">
        <x:v>Medium/Large</x:v>
      </x:c>
      <x:c r="F34" s="18" t="str">
        <x:v>General cohort</x:v>
      </x:c>
      <x:c r="G34" s="18" t="str">
        <x:v>https://www.msbsolicitors.co.uk/</x:v>
      </x:c>
      <x:c r="H34" s="18" t="str">
        <x:v>Multiple</x:v>
      </x:c>
      <x:c r="I34" s="18" t="str"/>
      <x:c r="J34" s="18" t="str">
        <x:v>https://www.msbsolicitors.co.uk/complaints-policy</x:v>
      </x:c>
      <x:c r="K34" s="18" t="str">
        <x:v>Queued</x:v>
      </x:c>
      <x:c r="L34" s="18" t="str">
        <x:v>Complaints easy to find; pricing discovery to be tested.</x:v>
      </x:c>
    </x:row>
    <x:row r="35">
      <x:c r="A35" s="18" t="n">
        <x:v>34</x:v>
      </x:c>
      <x:c r="B35" s="18" t="str">
        <x:v>Sydney Mitchell</x:v>
      </x:c>
      <x:c r="C35" s="18" t="str">
        <x:v>Midlands</x:v>
      </x:c>
      <x:c r="D35" s="18" t="str">
        <x:v>Birmingham</x:v>
      </x:c>
      <x:c r="E35" s="18" t="str">
        <x:v>Medium</x:v>
      </x:c>
      <x:c r="F35" s="18" t="str">
        <x:v>General cohort</x:v>
      </x:c>
      <x:c r="G35" s="18" t="str">
        <x:v>https://www.sydneymitchell.co.uk/</x:v>
      </x:c>
      <x:c r="H35" s="18" t="str">
        <x:v>Conveyancing / Probate / Employment / Debt</x:v>
      </x:c>
      <x:c r="I35" s="18" t="str">
        <x:v>https://www.sydneymitchell.co.uk/pricing-information/</x:v>
      </x:c>
      <x:c r="J35" s="18" t="str"/>
      <x:c r="K35" s="18" t="str">
        <x:v>Queued</x:v>
      </x:c>
      <x:c r="L35" s="18" t="str">
        <x:v>Good central pricing page; regional conventional site.</x:v>
      </x:c>
    </x:row>
    <x:row r="36">
      <x:c r="A36" s="18" t="n">
        <x:v>35</x:v>
      </x:c>
      <x:c r="B36" s="18" t="str">
        <x:v>FBC Manby Bowdler</x:v>
      </x:c>
      <x:c r="C36" s="18" t="str">
        <x:v>Midlands</x:v>
      </x:c>
      <x:c r="D36" s="18" t="str">
        <x:v>Wolverhampton / Shropshire</x:v>
      </x:c>
      <x:c r="E36" s="18" t="str">
        <x:v>Large regional</x:v>
      </x:c>
      <x:c r="F36" s="18" t="str">
        <x:v>Edge/complex</x:v>
      </x:c>
      <x:c r="G36" s="18" t="str">
        <x:v>https://www.fbcmb.co.uk/</x:v>
      </x:c>
      <x:c r="H36" s="18" t="str">
        <x:v>Multiple</x:v>
      </x:c>
      <x:c r="I36" s="18" t="str"/>
      <x:c r="J36" s="18" t="str"/>
      <x:c r="K36" s="18" t="str">
        <x:v>Queued</x:v>
      </x:c>
      <x:c r="L36" s="18" t="str">
        <x:v>Large multi-office site; merger/legacy architecture is useful challenge.</x:v>
      </x:c>
    </x:row>
    <x:row r="37">
      <x:c r="A37" s="18" t="n">
        <x:v>36</x:v>
      </x:c>
      <x:c r="B37" s="18" t="str">
        <x:v>Higgs LLP</x:v>
      </x:c>
      <x:c r="C37" s="18" t="str">
        <x:v>Midlands</x:v>
      </x:c>
      <x:c r="D37" s="18" t="str">
        <x:v>West Midlands</x:v>
      </x:c>
      <x:c r="E37" s="18" t="str">
        <x:v>Large regional</x:v>
      </x:c>
      <x:c r="F37" s="18" t="str">
        <x:v>General cohort</x:v>
      </x:c>
      <x:c r="G37" s="18" t="str">
        <x:v>https://www.higgsllp.co.uk/</x:v>
      </x:c>
      <x:c r="H37" s="18" t="str"/>
      <x:c r="I37" s="18" t="str"/>
      <x:c r="J37" s="18" t="str"/>
      <x:c r="K37" s="18" t="str">
        <x:v>Queued</x:v>
      </x:c>
      <x:c r="L37" s="18" t="str">
        <x:v>Large modern regional site; manual discovery target.</x:v>
      </x:c>
    </x:row>
    <x:row r="38">
      <x:c r="A38" s="18" t="n">
        <x:v>37</x:v>
      </x:c>
      <x:c r="B38" s="18" t="str">
        <x:v>Shakespeare Martineau</x:v>
      </x:c>
      <x:c r="C38" s="18" t="str">
        <x:v>Midlands</x:v>
      </x:c>
      <x:c r="D38" s="18" t="str">
        <x:v>Birmingham / UK</x:v>
      </x:c>
      <x:c r="E38" s="18" t="str">
        <x:v>Large/National</x:v>
      </x:c>
      <x:c r="F38" s="18" t="str">
        <x:v>Edge/complex</x:v>
      </x:c>
      <x:c r="G38" s="18" t="str">
        <x:v>https://www.shma.co.uk/</x:v>
      </x:c>
      <x:c r="H38" s="18" t="str"/>
      <x:c r="I38" s="18" t="str"/>
      <x:c r="J38" s="18" t="str"/>
      <x:c r="K38" s="18" t="str">
        <x:v>Queued</x:v>
      </x:c>
      <x:c r="L38" s="18" t="str">
        <x:v>Very large site; useful crawl-budget and navigation challenge.</x:v>
      </x:c>
    </x:row>
    <x:row r="39">
      <x:c r="A39" s="18" t="n">
        <x:v>38</x:v>
      </x:c>
      <x:c r="B39" s="18" t="str">
        <x:v>Nelsons</x:v>
      </x:c>
      <x:c r="C39" s="18" t="str">
        <x:v>Midlands</x:v>
      </x:c>
      <x:c r="D39" s="18" t="str">
        <x:v>Nottingham / Derby / Leicester</x:v>
      </x:c>
      <x:c r="E39" s="18" t="str">
        <x:v>Large regional</x:v>
      </x:c>
      <x:c r="F39" s="18" t="str">
        <x:v>General cohort</x:v>
      </x:c>
      <x:c r="G39" s="18" t="str">
        <x:v>https://www.nelsonslaw.co.uk/</x:v>
      </x:c>
      <x:c r="H39" s="18" t="str"/>
      <x:c r="I39" s="18" t="str"/>
      <x:c r="J39" s="18" t="str"/>
      <x:c r="K39" s="18" t="str">
        <x:v>Queued</x:v>
      </x:c>
      <x:c r="L39" s="18" t="str">
        <x:v>Regional multi-office control.</x:v>
      </x:c>
    </x:row>
    <x:row r="40">
      <x:c r="A40" s="18" t="n">
        <x:v>39</x:v>
      </x:c>
      <x:c r="B40" s="18" t="str">
        <x:v>Rothera Bray</x:v>
      </x:c>
      <x:c r="C40" s="18" t="str">
        <x:v>Midlands</x:v>
      </x:c>
      <x:c r="D40" s="18" t="str">
        <x:v>Nottingham / East Midlands</x:v>
      </x:c>
      <x:c r="E40" s="18" t="str">
        <x:v>Large regional</x:v>
      </x:c>
      <x:c r="F40" s="18" t="str">
        <x:v>Gold benchmark</x:v>
      </x:c>
      <x:c r="G40" s="18" t="str">
        <x:v>https://rotherabray.co.uk/</x:v>
      </x:c>
      <x:c r="H40" s="18" t="str">
        <x:v>Conveyancing / Employment</x:v>
      </x:c>
      <x:c r="I40" s="18" t="str">
        <x:v>https://rotherabray.co.uk/conveyancing-solicitors/freehold-sale-or-purchase-fees/</x:v>
      </x:c>
      <x:c r="J40" s="18" t="str">
        <x:v>https://rotherabray.co.uk/legal/complaints-procedure/</x:v>
      </x:c>
      <x:c r="K40" s="18" t="str">
        <x:v>Benchmarked</x:v>
      </x:c>
      <x:c r="L40" s="18" t="str">
        <x:v>Modern service-specific pricing plus clear complaints page.</x:v>
      </x:c>
    </x:row>
    <x:row r="41">
      <x:c r="A41" s="18" t="n">
        <x:v>40</x:v>
      </x:c>
      <x:c r="B41" s="18" t="str">
        <x:v>Sills &amp; Betteridge</x:v>
      </x:c>
      <x:c r="C41" s="18" t="str">
        <x:v>Midlands</x:v>
      </x:c>
      <x:c r="D41" s="18" t="str">
        <x:v>Lincoln / East Midlands</x:v>
      </x:c>
      <x:c r="E41" s="18" t="str">
        <x:v>Large regional</x:v>
      </x:c>
      <x:c r="F41" s="18" t="str">
        <x:v>General cohort</x:v>
      </x:c>
      <x:c r="G41" s="18" t="str">
        <x:v>https://www.sillslegal.co.uk/</x:v>
      </x:c>
      <x:c r="H41" s="18" t="str">
        <x:v>Multiple</x:v>
      </x:c>
      <x:c r="I41" s="18" t="str"/>
      <x:c r="J41" s="18" t="str">
        <x:v>https://www.sillslegal.co.uk/legal/complaints</x:v>
      </x:c>
      <x:c r="K41" s="18" t="str">
        <x:v>Queued</x:v>
      </x:c>
      <x:c r="L41" s="18" t="str">
        <x:v>Large regional footprint; good complaints-page baseline.</x:v>
      </x:c>
    </x:row>
    <x:row r="42">
      <x:c r="A42" s="18" t="n">
        <x:v>41</x:v>
      </x:c>
      <x:c r="B42" s="18" t="str">
        <x:v>Ashtons Legal</x:v>
      </x:c>
      <x:c r="C42" s="18" t="str">
        <x:v>East of England</x:v>
      </x:c>
      <x:c r="D42" s="18" t="str">
        <x:v>Cambridge / Norwich / Ipswich</x:v>
      </x:c>
      <x:c r="E42" s="18" t="str">
        <x:v>Large regional</x:v>
      </x:c>
      <x:c r="F42" s="18" t="str">
        <x:v>Edge/complex</x:v>
      </x:c>
      <x:c r="G42" s="18" t="str">
        <x:v>https://www.ashtonslegal.co.uk/</x:v>
      </x:c>
      <x:c r="H42" s="18" t="str">
        <x:v>Probate / Conveyancing / Employment / Debt / Licensing</x:v>
      </x:c>
      <x:c r="I42" s="18" t="str">
        <x:v>https://www.ashtonslegal.co.uk/pricing/</x:v>
      </x:c>
      <x:c r="J42" s="18" t="str">
        <x:v>https://www.ashtonslegal.co.uk/about-us/complaints-policy/</x:v>
      </x:c>
      <x:c r="K42" s="18" t="str">
        <x:v>Queued</x:v>
      </x:c>
      <x:c r="L42" s="18" t="str">
        <x:v>Historically had SRA transparency enforcement; now appears substantially improved.</x:v>
      </x:c>
    </x:row>
    <x:row r="43">
      <x:c r="A43" s="18" t="n">
        <x:v>42</x:v>
      </x:c>
      <x:c r="B43" s="18" t="str">
        <x:v>Tees Law</x:v>
      </x:c>
      <x:c r="C43" s="18" t="str">
        <x:v>East of England</x:v>
      </x:c>
      <x:c r="D43" s="18" t="str">
        <x:v>Cambridge / Essex / Herts</x:v>
      </x:c>
      <x:c r="E43" s="18" t="str">
        <x:v>Large regional</x:v>
      </x:c>
      <x:c r="F43" s="18" t="str">
        <x:v>General cohort</x:v>
      </x:c>
      <x:c r="G43" s="18" t="str">
        <x:v>https://teeslaw.com/</x:v>
      </x:c>
      <x:c r="H43" s="18" t="str">
        <x:v>Debt / other</x:v>
      </x:c>
      <x:c r="I43" s="18" t="str">
        <x:v>https://teeslaw.com/legal/pricing/</x:v>
      </x:c>
      <x:c r="J43" s="18" t="str"/>
      <x:c r="K43" s="18" t="str">
        <x:v>Queued</x:v>
      </x:c>
      <x:c r="L43" s="18" t="str">
        <x:v>Detailed service pricing with tables and inclusions.</x:v>
      </x:c>
    </x:row>
    <x:row r="44">
      <x:c r="A44" s="18" t="n">
        <x:v>43</x:v>
      </x:c>
      <x:c r="B44" s="18" t="str">
        <x:v>Birketts</x:v>
      </x:c>
      <x:c r="C44" s="18" t="str">
        <x:v>East of England</x:v>
      </x:c>
      <x:c r="D44" s="18" t="str">
        <x:v>Ipswich / Cambridge / Norwich / London</x:v>
      </x:c>
      <x:c r="E44" s="18" t="str">
        <x:v>Large regional</x:v>
      </x:c>
      <x:c r="F44" s="18" t="str">
        <x:v>Edge/complex</x:v>
      </x:c>
      <x:c r="G44" s="18" t="str">
        <x:v>https://www.birketts.co.uk/</x:v>
      </x:c>
      <x:c r="H44" s="18" t="str">
        <x:v>Conveyancing / Probate / Employment / Debt / Immigration / Licensing</x:v>
      </x:c>
      <x:c r="I44" s="18" t="str">
        <x:v>https://www.birketts.co.uk/fees/</x:v>
      </x:c>
      <x:c r="J44" s="18" t="str">
        <x:v>https://www.birketts.co.uk/compliance/complaints-policy/</x:v>
      </x:c>
      <x:c r="K44" s="18" t="str">
        <x:v>Benchmarked</x:v>
      </x:c>
      <x:c r="L44" s="18" t="str">
        <x:v>Replacement for Birkett Long, which closed on 1 July 2026. Strong multi-service pricing hub and complaints policy.</x:v>
      </x:c>
    </x:row>
    <x:row r="45">
      <x:c r="A45" s="18" t="n">
        <x:v>44</x:v>
      </x:c>
      <x:c r="B45" s="18" t="str">
        <x:v>Leadenhall Law Group</x:v>
      </x:c>
      <x:c r="C45" s="18" t="str">
        <x:v>East of England</x:v>
      </x:c>
      <x:c r="D45" s="18" t="str">
        <x:v>Norwich / London</x:v>
      </x:c>
      <x:c r="E45" s="18" t="str">
        <x:v>Medium</x:v>
      </x:c>
      <x:c r="F45" s="18" t="str">
        <x:v>Edge/complex</x:v>
      </x:c>
      <x:c r="G45" s="18" t="str">
        <x:v>https://leadenhalllawgroup.co.uk/</x:v>
      </x:c>
      <x:c r="H45" s="18" t="str">
        <x:v>Probate / Conveyancing</x:v>
      </x:c>
      <x:c r="I45" s="18" t="str">
        <x:v>https://leadenhalllawgroup.co.uk/wills-trust-probate/</x:v>
      </x:c>
      <x:c r="J45" s="18" t="str">
        <x:v>https://leadenhalllawgroup.co.uk/help/complaints-procedure/</x:v>
      </x:c>
      <x:c r="K45" s="18" t="str">
        <x:v>Queued</x:v>
      </x:c>
      <x:c r="L45" s="18" t="str">
        <x:v>Multiple SRA office numbers; unusual regulatory-footprint case.</x:v>
      </x:c>
    </x:row>
    <x:row r="46">
      <x:c r="A46" s="18" t="n">
        <x:v>45</x:v>
      </x:c>
      <x:c r="B46" s="18" t="str">
        <x:v>JCP Solicitors</x:v>
      </x:c>
      <x:c r="C46" s="18" t="str">
        <x:v>Wales</x:v>
      </x:c>
      <x:c r="D46" s="18" t="str">
        <x:v>South / West Wales</x:v>
      </x:c>
      <x:c r="E46" s="18" t="str">
        <x:v>Large regional</x:v>
      </x:c>
      <x:c r="F46" s="18" t="str">
        <x:v>General cohort</x:v>
      </x:c>
      <x:c r="G46" s="18" t="str">
        <x:v>https://www.jcpsolicitors.co.uk/</x:v>
      </x:c>
      <x:c r="H46" s="18" t="str">
        <x:v>Conveyancing / Probate / Employment</x:v>
      </x:c>
      <x:c r="I46" s="18" t="str"/>
      <x:c r="J46" s="18" t="str"/>
      <x:c r="K46" s="18" t="str">
        <x:v>Queued</x:v>
      </x:c>
      <x:c r="L46" s="18" t="str">
        <x:v>Eight+ offices; bilingual/regional site useful for crawl diversity.</x:v>
      </x:c>
    </x:row>
    <x:row r="47">
      <x:c r="A47" s="18" t="n">
        <x:v>46</x:v>
      </x:c>
      <x:c r="B47" s="18" t="str">
        <x:v>Red Kite Law</x:v>
      </x:c>
      <x:c r="C47" s="18" t="str">
        <x:v>Wales</x:v>
      </x:c>
      <x:c r="D47" s="18" t="str">
        <x:v>Cardiff / South &amp; West Wales</x:v>
      </x:c>
      <x:c r="E47" s="18" t="str">
        <x:v>Large regional</x:v>
      </x:c>
      <x:c r="F47" s="18" t="str">
        <x:v>Edge/complex</x:v>
      </x:c>
      <x:c r="G47" s="18" t="str">
        <x:v>https://www.redkitesolicitors.co.uk/</x:v>
      </x:c>
      <x:c r="H47" s="18" t="str">
        <x:v>Multiple</x:v>
      </x:c>
      <x:c r="I47" s="18" t="str"/>
      <x:c r="J47" s="18" t="str"/>
      <x:c r="K47" s="18" t="str">
        <x:v>Queued</x:v>
      </x:c>
      <x:c r="L47" s="18" t="str">
        <x:v>Very large multi-office footprint; useful branch/navigation challenge.</x:v>
      </x:c>
    </x:row>
    <x:row r="48">
      <x:c r="A48" s="18" t="n">
        <x:v>47</x:v>
      </x:c>
      <x:c r="B48" s="18" t="str">
        <x:v>Watkins &amp; Gunn</x:v>
      </x:c>
      <x:c r="C48" s="18" t="str">
        <x:v>Wales</x:v>
      </x:c>
      <x:c r="D48" s="18" t="str">
        <x:v>Cardiff / Newport / Pontypool</x:v>
      </x:c>
      <x:c r="E48" s="18" t="str">
        <x:v>Medium</x:v>
      </x:c>
      <x:c r="F48" s="18" t="str">
        <x:v>General cohort</x:v>
      </x:c>
      <x:c r="G48" s="18" t="str">
        <x:v>https://www.watkinsandgunn.co.uk/</x:v>
      </x:c>
      <x:c r="H48" s="18" t="str">
        <x:v>Property / Probate / Employment</x:v>
      </x:c>
      <x:c r="I48" s="18" t="str"/>
      <x:c r="J48" s="18" t="str"/>
      <x:c r="K48" s="18" t="str">
        <x:v>Queued</x:v>
      </x:c>
      <x:c r="L48" s="18" t="str">
        <x:v>Clear footer SRA info; pricing discovery still to benchmark.</x:v>
      </x:c>
    </x:row>
    <x:row r="49">
      <x:c r="A49" s="18" t="n">
        <x:v>48</x:v>
      </x:c>
      <x:c r="B49" s="18" t="str">
        <x:v>Bishopsgate Law</x:v>
      </x:c>
      <x:c r="C49" s="18" t="str">
        <x:v>London / South East</x:v>
      </x:c>
      <x:c r="D49" s="18" t="str">
        <x:v>London / Potters Bar</x:v>
      </x:c>
      <x:c r="E49" s="18" t="str">
        <x:v>Medium specialist</x:v>
      </x:c>
      <x:c r="F49" s="18" t="str">
        <x:v>Edge/complex</x:v>
      </x:c>
      <x:c r="G49" s="18" t="str">
        <x:v>https://www.bishopsgatelaw.com/</x:v>
      </x:c>
      <x:c r="H49" s="18" t="str">
        <x:v>Conveyancing</x:v>
      </x:c>
      <x:c r="I49" s="18" t="str"/>
      <x:c r="J49" s="18" t="str"/>
      <x:c r="K49" s="18" t="str">
        <x:v>Queued</x:v>
      </x:c>
      <x:c r="L49" s="18" t="str">
        <x:v>High-volume conveyancing specialist; strong calculator/lead-flow case.</x:v>
      </x:c>
    </x:row>
    <x:row r="50">
      <x:c r="A50" s="18" t="n">
        <x:v>49</x:v>
      </x:c>
      <x:c r="B50" s="18" t="str">
        <x:v>Streathers Solicitors</x:v>
      </x:c>
      <x:c r="C50" s="18" t="str">
        <x:v>London</x:v>
      </x:c>
      <x:c r="D50" s="18" t="str">
        <x:v>London</x:v>
      </x:c>
      <x:c r="E50" s="18" t="str">
        <x:v>Medium/Large</x:v>
      </x:c>
      <x:c r="F50" s="18" t="str">
        <x:v>General cohort</x:v>
      </x:c>
      <x:c r="G50" s="18" t="str">
        <x:v>https://www.streathers.co.uk/</x:v>
      </x:c>
      <x:c r="H50" s="18" t="str">
        <x:v>Conveyancing / Probate</x:v>
      </x:c>
      <x:c r="I50" s="18" t="str"/>
      <x:c r="J50" s="18" t="str">
        <x:v>https://www.streathers.co.uk/help/complaints-policy/</x:v>
      </x:c>
      <x:c r="K50" s="18" t="str">
        <x:v>Queued</x:v>
      </x:c>
      <x:c r="L50" s="18" t="str">
        <x:v>Multiple offices and long-standing legal-notice architecture.</x:v>
      </x:c>
    </x:row>
    <x:row r="51">
      <x:c r="A51" s="18" t="n">
        <x:v>50</x:v>
      </x:c>
      <x:c r="B51" s="18" t="str">
        <x:v>Russell-Cooke</x:v>
      </x:c>
      <x:c r="C51" s="18" t="str">
        <x:v>London</x:v>
      </x:c>
      <x:c r="D51" s="18" t="str">
        <x:v>London</x:v>
      </x:c>
      <x:c r="E51" s="18" t="str">
        <x:v>Large regional</x:v>
      </x:c>
      <x:c r="F51" s="18" t="str">
        <x:v>Edge/complex</x:v>
      </x:c>
      <x:c r="G51" s="18" t="str">
        <x:v>https://www.russell-cooke.co.uk/</x:v>
      </x:c>
      <x:c r="H51" s="18" t="str">
        <x:v>Conveyancing / Probate / Employment</x:v>
      </x:c>
      <x:c r="I51" s="18" t="str"/>
      <x:c r="J51" s="18" t="str"/>
      <x:c r="K51" s="18" t="str">
        <x:v>Queued</x:v>
      </x:c>
      <x:c r="L51" s="18" t="str">
        <x:v>Large London firm; premium/multi-service edge case.</x:v>
      </x:c>
    </x:row>
  </x:sheetData>
  <x:pageMargins left="0.7" right="0.7" top="0.75" bottom="0.75" header="0.3" footer="0.3"/>
  <x:tableParts count="1">
    <x:tablePart xmlns:r="http://schemas.openxmlformats.org/officeDocument/2006/relationships" r:id="Rbd77e525e4cc421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48" hidden="0" customWidth="1"/>
    <x:col min="21" max="21" width="46" hidden="0" customWidth="1"/>
    <x:col min="22" max="22" width="46" hidden="0" customWidth="1"/>
  </x:cols>
  <x:sheetData>
    <x:row r="1">
      <x:c r="A1" s="11" t="str">
        <x:v>Firm</x:v>
      </x:c>
      <x:c r="B1" s="11" t="str">
        <x:v>Primary benchmark service</x:v>
      </x:c>
      <x:c r="C1" s="11" t="str">
        <x:v>LAW-U001</x:v>
      </x:c>
      <x:c r="D1" s="11" t="str">
        <x:v>LAW-U002</x:v>
      </x:c>
      <x:c r="E1" s="11" t="str">
        <x:v>LAW-U004</x:v>
      </x:c>
      <x:c r="F1" s="11" t="str">
        <x:v>LAW-U005</x:v>
      </x:c>
      <x:c r="G1" s="11" t="str">
        <x:v>LAW-U008</x:v>
      </x:c>
      <x:c r="H1" s="11" t="str">
        <x:v>PRICE-001</x:v>
      </x:c>
      <x:c r="I1" s="11" t="str">
        <x:v>PRICE-002</x:v>
      </x:c>
      <x:c r="J1" s="11" t="str">
        <x:v>PRICE-004</x:v>
      </x:c>
      <x:c r="K1" s="11" t="str">
        <x:v>PRICE-005</x:v>
      </x:c>
      <x:c r="L1" s="11" t="str">
        <x:v>PRICE-006</x:v>
      </x:c>
      <x:c r="M1" s="11" t="str">
        <x:v>PRICE-008</x:v>
      </x:c>
      <x:c r="N1" s="11" t="str">
        <x:v>PRICE-010</x:v>
      </x:c>
      <x:c r="O1" s="11" t="str">
        <x:v>PRICE-011</x:v>
      </x:c>
      <x:c r="P1" s="11" t="str">
        <x:v>PRICE-012</x:v>
      </x:c>
      <x:c r="Q1" s="11" t="str">
        <x:v>PRICE-013</x:v>
      </x:c>
      <x:c r="R1" s="11" t="str">
        <x:v>PRICE-014</x:v>
      </x:c>
      <x:c r="S1" s="11" t="str">
        <x:v>PRICE-016</x:v>
      </x:c>
      <x:c r="T1" s="11" t="str">
        <x:v>Reviewer notes</x:v>
      </x:c>
      <x:c r="U1" s="11" t="str">
        <x:v>Pricing source</x:v>
      </x:c>
      <x:c r="V1" s="11" t="str">
        <x:v>Complaints / regulatory source</x:v>
      </x:c>
    </x:row>
    <x:row r="2">
      <x:c r="A2" s="18" t="str">
        <x:v>Nash &amp; Co Solicitors</x:v>
      </x:c>
      <x:c r="B2" s="18" t="str">
        <x:v>Probate</x:v>
      </x:c>
      <x:c r="C2" s="18" t="str">
        <x:v>Pass</x:v>
      </x:c>
      <x:c r="D2" s="18" t="str">
        <x:v>Review</x:v>
      </x:c>
      <x:c r="E2" s="18" t="str">
        <x:v>Pass</x:v>
      </x:c>
      <x:c r="F2" s="18" t="str">
        <x:v>Pass</x:v>
      </x:c>
      <x:c r="G2" s="18" t="str">
        <x:v>Review</x:v>
      </x:c>
      <x:c r="H2" s="18" t="str">
        <x:v>Pass</x:v>
      </x:c>
      <x:c r="I2" s="18" t="str">
        <x:v>Pass</x:v>
      </x:c>
      <x:c r="J2" s="18" t="str">
        <x:v>Review</x:v>
      </x:c>
      <x:c r="K2" s="18" t="str">
        <x:v>Review</x:v>
      </x:c>
      <x:c r="L2" s="18" t="str">
        <x:v>Pass</x:v>
      </x:c>
      <x:c r="M2" s="18" t="str">
        <x:v>Pass</x:v>
      </x:c>
      <x:c r="N2" s="18" t="str">
        <x:v>Review</x:v>
      </x:c>
      <x:c r="O2" s="18" t="str">
        <x:v>Pass</x:v>
      </x:c>
      <x:c r="P2" s="18" t="str">
        <x:v>Pass</x:v>
      </x:c>
      <x:c r="Q2" s="18" t="str">
        <x:v>Review</x:v>
      </x:c>
      <x:c r="R2" s="18" t="str">
        <x:v>Review</x:v>
      </x:c>
      <x:c r="S2" s="18" t="str">
        <x:v>Pass</x:v>
      </x:c>
      <x:c r="T2" s="18" t="str">
        <x:v>Pricing and VAT are explicit; detailed staff/stage checks need full-page review.</x:v>
      </x:c>
      <x:c r="U2" s="18" t="str">
        <x:v>https://nash.co.uk/personal/wills-trusts-tax-probate/probate-pricing-structure</x:v>
      </x:c>
      <x:c r="V2" s="18" t="str">
        <x:v>https://nash.co.uk/legal-notices/complaints-procedure</x:v>
      </x:c>
    </x:row>
    <x:row r="3">
      <x:c r="A3" s="18" t="str">
        <x:v>Thompson &amp; Jackson</x:v>
      </x:c>
      <x:c r="B3" s="18" t="str">
        <x:v>Probate / Conveyancing</x:v>
      </x:c>
      <x:c r="C3" s="18" t="str">
        <x:v>Review</x:v>
      </x:c>
      <x:c r="D3" s="18" t="str">
        <x:v>Review</x:v>
      </x:c>
      <x:c r="E3" s="18" t="str">
        <x:v>Review</x:v>
      </x:c>
      <x:c r="F3" s="18" t="str">
        <x:v>Review</x:v>
      </x:c>
      <x:c r="G3" s="18" t="str">
        <x:v>Review</x:v>
      </x:c>
      <x:c r="H3" s="18" t="str">
        <x:v>Pass</x:v>
      </x:c>
      <x:c r="I3" s="18" t="str">
        <x:v>Pass</x:v>
      </x:c>
      <x:c r="J3" s="18" t="str">
        <x:v>Pass</x:v>
      </x:c>
      <x:c r="K3" s="18" t="str">
        <x:v>Review</x:v>
      </x:c>
      <x:c r="L3" s="18" t="str">
        <x:v>Pass</x:v>
      </x:c>
      <x:c r="M3" s="18" t="str">
        <x:v>Pass</x:v>
      </x:c>
      <x:c r="N3" s="18" t="str">
        <x:v>Review</x:v>
      </x:c>
      <x:c r="O3" s="18" t="str">
        <x:v>Pass</x:v>
      </x:c>
      <x:c r="P3" s="18" t="str">
        <x:v>Review</x:v>
      </x:c>
      <x:c r="Q3" s="18" t="str">
        <x:v>Pass</x:v>
      </x:c>
      <x:c r="R3" s="18" t="str">
        <x:v>Pass</x:v>
      </x:c>
      <x:c r="S3" s="18" t="str">
        <x:v>Pass</x:v>
      </x:c>
      <x:c r="T3" s="18" t="str">
        <x:v>Pricing hub says each linked page covers expert team, likely costs and indicative timings; document-heavy architecture.</x:v>
      </x:c>
      <x:c r="U3" s="18" t="str">
        <x:v>https://www.thompsonandjackson.co.uk/pricing</x:v>
      </x:c>
      <x:c r="V3" s="18" t="str"/>
    </x:row>
    <x:row r="4">
      <x:c r="A4" s="18" t="str">
        <x:v>Barcan+Kirby</x:v>
      </x:c>
      <x:c r="B4" s="18" t="str">
        <x:v>Probate</x:v>
      </x:c>
      <x:c r="C4" s="18" t="str">
        <x:v>Review</x:v>
      </x:c>
      <x:c r="D4" s="18" t="str">
        <x:v>Review</x:v>
      </x:c>
      <x:c r="E4" s="18" t="str">
        <x:v>Pass</x:v>
      </x:c>
      <x:c r="F4" s="18" t="str">
        <x:v>Pass</x:v>
      </x:c>
      <x:c r="G4" s="18" t="str">
        <x:v>Pass</x:v>
      </x:c>
      <x:c r="H4" s="18" t="str">
        <x:v>Pass</x:v>
      </x:c>
      <x:c r="I4" s="18" t="str">
        <x:v>Pass</x:v>
      </x:c>
      <x:c r="J4" s="18" t="str">
        <x:v>Pass</x:v>
      </x:c>
      <x:c r="K4" s="18" t="str">
        <x:v>Review</x:v>
      </x:c>
      <x:c r="L4" s="18" t="str">
        <x:v>Pass</x:v>
      </x:c>
      <x:c r="M4" s="18" t="str">
        <x:v>Pass</x:v>
      </x:c>
      <x:c r="N4" s="18" t="str">
        <x:v>Pass</x:v>
      </x:c>
      <x:c r="O4" s="18" t="str">
        <x:v>Pass</x:v>
      </x:c>
      <x:c r="P4" s="18" t="str">
        <x:v>Pass</x:v>
      </x:c>
      <x:c r="Q4" s="18" t="str">
        <x:v>Pass</x:v>
      </x:c>
      <x:c r="R4" s="18" t="str">
        <x:v>Review</x:v>
      </x:c>
      <x:c r="S4" s="18" t="str">
        <x:v>Pass</x:v>
      </x:c>
      <x:c r="T4" s="18" t="str">
        <x:v>Detailed probate page has fees, VAT, disbursements, inclusions and staff list; strong positive control.</x:v>
      </x:c>
      <x:c r="U4" s="18" t="str">
        <x:v>https://barcankirby.co.uk/legal-services/for-you-and-your-family/probate-estate-administration/pricing-staff-information-for-probate/</x:v>
      </x:c>
      <x:c r="V4" s="18" t="str">
        <x:v>https://barcankirby.co.uk/help/complaints/</x:v>
      </x:c>
    </x:row>
    <x:row r="5">
      <x:c r="A5" s="18" t="str">
        <x:v>Tozers</x:v>
      </x:c>
      <x:c r="B5" s="18" t="str">
        <x:v>Residential conveyancing</x:v>
      </x:c>
      <x:c r="C5" s="18" t="str">
        <x:v>Review</x:v>
      </x:c>
      <x:c r="D5" s="18" t="str">
        <x:v>Review</x:v>
      </x:c>
      <x:c r="E5" s="18" t="str">
        <x:v>Pass</x:v>
      </x:c>
      <x:c r="F5" s="18" t="str">
        <x:v>Pass</x:v>
      </x:c>
      <x:c r="G5" s="18" t="str">
        <x:v>Review</x:v>
      </x:c>
      <x:c r="H5" s="18" t="str">
        <x:v>Pass</x:v>
      </x:c>
      <x:c r="I5" s="18" t="str">
        <x:v>Pass</x:v>
      </x:c>
      <x:c r="J5" s="18" t="str">
        <x:v>Review</x:v>
      </x:c>
      <x:c r="K5" s="18" t="str">
        <x:v>Review</x:v>
      </x:c>
      <x:c r="L5" s="18" t="str">
        <x:v>Pass</x:v>
      </x:c>
      <x:c r="M5" s="18" t="str">
        <x:v>Pass</x:v>
      </x:c>
      <x:c r="N5" s="18" t="str">
        <x:v>Pass</x:v>
      </x:c>
      <x:c r="O5" s="18" t="str">
        <x:v>Pass</x:v>
      </x:c>
      <x:c r="P5" s="18" t="str">
        <x:v>Pass</x:v>
      </x:c>
      <x:c r="Q5" s="18" t="str">
        <x:v>Review</x:v>
      </x:c>
      <x:c r="R5" s="18" t="str">
        <x:v>Review</x:v>
      </x:c>
      <x:c r="S5" s="18" t="str">
        <x:v>Pass</x:v>
      </x:c>
      <x:c r="T5" s="18" t="str">
        <x:v>Strong central charges/fees hub; residential page explicitly sets fees, VAT and disbursements.</x:v>
      </x:c>
      <x:c r="U5" s="18" t="str">
        <x:v>https://www.tozers.co.uk/about/charges-fees/price-and-stage-information/</x:v>
      </x:c>
      <x:c r="V5" s="18" t="str">
        <x:v>https://www.tozers.co.uk/help/complaints/</x:v>
      </x:c>
    </x:row>
    <x:row r="6">
      <x:c r="A6" s="18" t="str">
        <x:v>Hethertons</x:v>
      </x:c>
      <x:c r="B6" s="18" t="str">
        <x:v>Residential conveyancing</x:v>
      </x:c>
      <x:c r="C6" s="18" t="str">
        <x:v>Pass</x:v>
      </x:c>
      <x:c r="D6" s="18" t="str">
        <x:v>Review</x:v>
      </x:c>
      <x:c r="E6" s="18" t="str">
        <x:v>Review</x:v>
      </x:c>
      <x:c r="F6" s="18" t="str">
        <x:v>Review</x:v>
      </x:c>
      <x:c r="G6" s="18" t="str">
        <x:v>Review</x:v>
      </x:c>
      <x:c r="H6" s="18" t="str">
        <x:v>Pass</x:v>
      </x:c>
      <x:c r="I6" s="18" t="str">
        <x:v>Pass</x:v>
      </x:c>
      <x:c r="J6" s="18" t="str">
        <x:v>Pass</x:v>
      </x:c>
      <x:c r="K6" s="18" t="str">
        <x:v>Pass</x:v>
      </x:c>
      <x:c r="L6" s="18" t="str">
        <x:v>Pass</x:v>
      </x:c>
      <x:c r="M6" s="18" t="str">
        <x:v>Pass</x:v>
      </x:c>
      <x:c r="N6" s="18" t="str">
        <x:v>Pass</x:v>
      </x:c>
      <x:c r="O6" s="18" t="str">
        <x:v>Pass</x:v>
      </x:c>
      <x:c r="P6" s="18" t="str">
        <x:v>Review</x:v>
      </x:c>
      <x:c r="Q6" s="18" t="str">
        <x:v>Pass</x:v>
      </x:c>
      <x:c r="R6" s="18" t="str">
        <x:v>Pass</x:v>
      </x:c>
      <x:c r="S6" s="18" t="str">
        <x:v>Pass</x:v>
      </x:c>
      <x:c r="T6" s="18" t="str">
        <x:v>Structured SRA-style table explicitly includes ranges, charging basis, staff/supervisor experience, disbursements, VAT and timescales.</x:v>
      </x:c>
      <x:c r="U6" s="18" t="str">
        <x:v>https://www.hethertons.co.uk/pricing-residential-property/</x:v>
      </x:c>
      <x:c r="V6" s="18" t="str"/>
    </x:row>
    <x:row r="7">
      <x:c r="A7" s="18" t="str">
        <x:v>Ware &amp; Kay</x:v>
      </x:c>
      <x:c r="B7" s="18" t="str">
        <x:v>Probate / Conveyancing</x:v>
      </x:c>
      <x:c r="C7" s="18" t="str">
        <x:v>Pass</x:v>
      </x:c>
      <x:c r="D7" s="18" t="str">
        <x:v>Review</x:v>
      </x:c>
      <x:c r="E7" s="18" t="str">
        <x:v>Pass</x:v>
      </x:c>
      <x:c r="F7" s="18" t="str">
        <x:v>Review</x:v>
      </x:c>
      <x:c r="G7" s="18" t="str">
        <x:v>Review</x:v>
      </x:c>
      <x:c r="H7" s="18" t="str">
        <x:v>Pass</x:v>
      </x:c>
      <x:c r="I7" s="18" t="str">
        <x:v>Pass</x:v>
      </x:c>
      <x:c r="J7" s="18" t="str">
        <x:v>Review</x:v>
      </x:c>
      <x:c r="K7" s="18" t="str">
        <x:v>Review</x:v>
      </x:c>
      <x:c r="L7" s="18" t="str">
        <x:v>Review</x:v>
      </x:c>
      <x:c r="M7" s="18" t="str">
        <x:v>Review</x:v>
      </x:c>
      <x:c r="N7" s="18" t="str">
        <x:v>Review</x:v>
      </x:c>
      <x:c r="O7" s="18" t="str">
        <x:v>Review</x:v>
      </x:c>
      <x:c r="P7" s="18" t="str">
        <x:v>Review</x:v>
      </x:c>
      <x:c r="Q7" s="18" t="str">
        <x:v>Pass</x:v>
      </x:c>
      <x:c r="R7" s="18" t="str">
        <x:v>Pass</x:v>
      </x:c>
      <x:c r="S7" s="18" t="str">
        <x:v>Pass</x:v>
      </x:c>
      <x:c r="T7" s="18" t="str">
        <x:v>Transparency hub explicitly links pricing, stages, timescales and advisor experience; detailed service-page confirmation still required.</x:v>
      </x:c>
      <x:c r="U7" s="18" t="str">
        <x:v>https://www.warekay.co.uk/costs-transparency</x:v>
      </x:c>
      <x:c r="V7" s="18" t="str">
        <x:v>https://www.warekay.co.uk/complaints/</x:v>
      </x:c>
    </x:row>
    <x:row r="8">
      <x:c r="A8" s="18" t="str">
        <x:v>Harrowells</x:v>
      </x:c>
      <x:c r="B8" s="18" t="str">
        <x:v>Probate / Conveyancing</x:v>
      </x:c>
      <x:c r="C8" s="18" t="str">
        <x:v>Review</x:v>
      </x:c>
      <x:c r="D8" s="18" t="str">
        <x:v>Review</x:v>
      </x:c>
      <x:c r="E8" s="18" t="str">
        <x:v>Review</x:v>
      </x:c>
      <x:c r="F8" s="18" t="str">
        <x:v>Review</x:v>
      </x:c>
      <x:c r="G8" s="18" t="str">
        <x:v>Review</x:v>
      </x:c>
      <x:c r="H8" s="18" t="str">
        <x:v>Pass</x:v>
      </x:c>
      <x:c r="I8" s="18" t="str">
        <x:v>Pass</x:v>
      </x:c>
      <x:c r="J8" s="18" t="str">
        <x:v>Pass</x:v>
      </x:c>
      <x:c r="K8" s="18" t="str">
        <x:v>Pass</x:v>
      </x:c>
      <x:c r="L8" s="18" t="str">
        <x:v>Review</x:v>
      </x:c>
      <x:c r="M8" s="18" t="str">
        <x:v>Review</x:v>
      </x:c>
      <x:c r="N8" s="18" t="str">
        <x:v>Review</x:v>
      </x:c>
      <x:c r="O8" s="18" t="str">
        <x:v>Review</x:v>
      </x:c>
      <x:c r="P8" s="18" t="str">
        <x:v>Review</x:v>
      </x:c>
      <x:c r="Q8" s="18" t="str">
        <x:v>Pass</x:v>
      </x:c>
      <x:c r="R8" s="18" t="str">
        <x:v>Pass</x:v>
      </x:c>
      <x:c r="S8" s="18" t="str">
        <x:v>Pass</x:v>
      </x:c>
      <x:c r="T8" s="18" t="str">
        <x:v>Pricing hub explicitly states SRA information covers costs, key stages, timescales and advisor experience.</x:v>
      </x:c>
      <x:c r="U8" s="18" t="str">
        <x:v>https://www.harrowells.co.uk/site/pricing/</x:v>
      </x:c>
      <x:c r="V8" s="18" t="str"/>
    </x:row>
    <x:row r="9">
      <x:c r="A9" s="18" t="str">
        <x:v>Dean Wilson LLP</x:v>
      </x:c>
      <x:c r="B9" s="18" t="str">
        <x:v>Probate / Employment</x:v>
      </x:c>
      <x:c r="C9" s="18" t="str">
        <x:v>Pass</x:v>
      </x:c>
      <x:c r="D9" s="18" t="str">
        <x:v>Review</x:v>
      </x:c>
      <x:c r="E9" s="18" t="str">
        <x:v>Review</x:v>
      </x:c>
      <x:c r="F9" s="18" t="str">
        <x:v>Review</x:v>
      </x:c>
      <x:c r="G9" s="18" t="str">
        <x:v>Review</x:v>
      </x:c>
      <x:c r="H9" s="18" t="str">
        <x:v>Pass</x:v>
      </x:c>
      <x:c r="I9" s="18" t="str">
        <x:v>Pass</x:v>
      </x:c>
      <x:c r="J9" s="18" t="str">
        <x:v>Pass</x:v>
      </x:c>
      <x:c r="K9" s="18" t="str">
        <x:v>Review</x:v>
      </x:c>
      <x:c r="L9" s="18" t="str">
        <x:v>Pass</x:v>
      </x:c>
      <x:c r="M9" s="18" t="str">
        <x:v>Pass</x:v>
      </x:c>
      <x:c r="N9" s="18" t="str">
        <x:v>Review</x:v>
      </x:c>
      <x:c r="O9" s="18" t="str">
        <x:v>Pass</x:v>
      </x:c>
      <x:c r="P9" s="18" t="str">
        <x:v>Review</x:v>
      </x:c>
      <x:c r="Q9" s="18" t="str">
        <x:v>Pass</x:v>
      </x:c>
      <x:c r="R9" s="18" t="str">
        <x:v>Pass</x:v>
      </x:c>
      <x:c r="S9" s="18" t="str">
        <x:v>Pass</x:v>
      </x:c>
      <x:c r="T9" s="18" t="str">
        <x:v>Pricing hub plus detailed service pages; footer/contact confirms SRA number and complaints-policy navigation.</x:v>
      </x:c>
      <x:c r="U9" s="18" t="str">
        <x:v>https://deanwilson.co.uk/pricing-information</x:v>
      </x:c>
      <x:c r="V9" s="18" t="str">
        <x:v>https://deanwilson.co.uk/contact</x:v>
      </x:c>
    </x:row>
    <x:row r="10">
      <x:c r="A10" s="18" t="str">
        <x:v>Fieldings Porter</x:v>
      </x:c>
      <x:c r="B10" s="18" t="str">
        <x:v>Probate / Conveyancing</x:v>
      </x:c>
      <x:c r="C10" s="18" t="str">
        <x:v>Review</x:v>
      </x:c>
      <x:c r="D10" s="18" t="str">
        <x:v>Review</x:v>
      </x:c>
      <x:c r="E10" s="18" t="str">
        <x:v>Pass</x:v>
      </x:c>
      <x:c r="F10" s="18" t="str">
        <x:v>Pass</x:v>
      </x:c>
      <x:c r="G10" s="18" t="str">
        <x:v>Pass</x:v>
      </x:c>
      <x:c r="H10" s="18" t="str">
        <x:v>Pass</x:v>
      </x:c>
      <x:c r="I10" s="18" t="str">
        <x:v>Pass</x:v>
      </x:c>
      <x:c r="J10" s="18" t="str">
        <x:v>Review</x:v>
      </x:c>
      <x:c r="K10" s="18" t="str">
        <x:v>Review</x:v>
      </x:c>
      <x:c r="L10" s="18" t="str">
        <x:v>Pass</x:v>
      </x:c>
      <x:c r="M10" s="18" t="str">
        <x:v>Pass</x:v>
      </x:c>
      <x:c r="N10" s="18" t="str">
        <x:v>Review</x:v>
      </x:c>
      <x:c r="O10" s="18" t="str">
        <x:v>Pass</x:v>
      </x:c>
      <x:c r="P10" s="18" t="str">
        <x:v>Pass</x:v>
      </x:c>
      <x:c r="Q10" s="18" t="str">
        <x:v>Review</x:v>
      </x:c>
      <x:c r="R10" s="18" t="str">
        <x:v>Review</x:v>
      </x:c>
      <x:c r="S10" s="18" t="str">
        <x:v>Pass</x:v>
      </x:c>
      <x:c r="T10" s="18" t="str">
        <x:v>Complaints page includes Legal Ombudsman and SRA conduct route; conveyancing uses quote tool while probate is static pricing.</x:v>
      </x:c>
      <x:c r="U10" s="18" t="str">
        <x:v>https://www.fieldingsporter.co.uk/site/pricing/probate-pricing/</x:v>
      </x:c>
      <x:c r="V10" s="18" t="str">
        <x:v>https://www.fieldingsporter.co.uk/site/help/complaints/</x:v>
      </x:c>
    </x:row>
    <x:row r="11">
      <x:c r="A11" s="18" t="str">
        <x:v>Winston Solicitors</x:v>
      </x:c>
      <x:c r="B11" s="18" t="str">
        <x:v>Probate</x:v>
      </x:c>
      <x:c r="C11" s="18" t="str">
        <x:v>Review</x:v>
      </x:c>
      <x:c r="D11" s="18" t="str">
        <x:v>Review</x:v>
      </x:c>
      <x:c r="E11" s="18" t="str">
        <x:v>Pass</x:v>
      </x:c>
      <x:c r="F11" s="18" t="str">
        <x:v>Review</x:v>
      </x:c>
      <x:c r="G11" s="18" t="str">
        <x:v>Review</x:v>
      </x:c>
      <x:c r="H11" s="18" t="str">
        <x:v>Pass</x:v>
      </x:c>
      <x:c r="I11" s="18" t="str">
        <x:v>Pass</x:v>
      </x:c>
      <x:c r="J11" s="18" t="str">
        <x:v>Review</x:v>
      </x:c>
      <x:c r="K11" s="18" t="str">
        <x:v>Review</x:v>
      </x:c>
      <x:c r="L11" s="18" t="str">
        <x:v>Pass</x:v>
      </x:c>
      <x:c r="M11" s="18" t="str">
        <x:v>Pass</x:v>
      </x:c>
      <x:c r="N11" s="18" t="str">
        <x:v>Review</x:v>
      </x:c>
      <x:c r="O11" s="18" t="str">
        <x:v>Pass</x:v>
      </x:c>
      <x:c r="P11" s="18" t="str">
        <x:v>Review</x:v>
      </x:c>
      <x:c r="Q11" s="18" t="str">
        <x:v>Review</x:v>
      </x:c>
      <x:c r="R11" s="18" t="str">
        <x:v>Pass</x:v>
      </x:c>
      <x:c r="S11" s="18" t="str">
        <x:v>Pass</x:v>
      </x:c>
      <x:c r="T11" s="18" t="str">
        <x:v>Detailed probate pricing and disbursements; complaints page easy to locate.</x:v>
      </x:c>
      <x:c r="U11" s="18" t="str">
        <x:v>https://www.winstonsolicitors.co.uk/wills-trusts-probate/will-lpa-trust-probate-pricing</x:v>
      </x:c>
      <x:c r="V11" s="18" t="str">
        <x:v>https://www.winstonsolicitors.co.uk/complaints</x:v>
      </x:c>
    </x:row>
    <x:row r="12">
      <x:c r="A12" s="18" t="str">
        <x:v>Tilly Bailey &amp; Irvine</x:v>
      </x:c>
      <x:c r="B12" s="18" t="str">
        <x:v>Employment / Debt / Conveyancing</x:v>
      </x:c>
      <x:c r="C12" s="18" t="str">
        <x:v>Review</x:v>
      </x:c>
      <x:c r="D12" s="18" t="str">
        <x:v>Review</x:v>
      </x:c>
      <x:c r="E12" s="18" t="str">
        <x:v>Pass</x:v>
      </x:c>
      <x:c r="F12" s="18" t="str">
        <x:v>Review</x:v>
      </x:c>
      <x:c r="G12" s="18" t="str">
        <x:v>Review</x:v>
      </x:c>
      <x:c r="H12" s="18" t="str">
        <x:v>Pass</x:v>
      </x:c>
      <x:c r="I12" s="18" t="str">
        <x:v>Pass</x:v>
      </x:c>
      <x:c r="J12" s="18" t="str">
        <x:v>Review</x:v>
      </x:c>
      <x:c r="K12" s="18" t="str">
        <x:v>Review</x:v>
      </x:c>
      <x:c r="L12" s="18" t="str">
        <x:v>Pass</x:v>
      </x:c>
      <x:c r="M12" s="18" t="str">
        <x:v>Pass</x:v>
      </x:c>
      <x:c r="N12" s="18" t="str">
        <x:v>Review</x:v>
      </x:c>
      <x:c r="O12" s="18" t="str">
        <x:v>Pass</x:v>
      </x:c>
      <x:c r="P12" s="18" t="str">
        <x:v>Review</x:v>
      </x:c>
      <x:c r="Q12" s="18" t="str">
        <x:v>Pass</x:v>
      </x:c>
      <x:c r="R12" s="18" t="str">
        <x:v>Pass</x:v>
      </x:c>
      <x:c r="S12" s="18" t="str">
        <x:v>Pass</x:v>
      </x:c>
      <x:c r="T12" s="18" t="str">
        <x:v>Many applicable service pages with explicit VAT; good stress test for service classification.</x:v>
      </x:c>
      <x:c r="U12" s="18" t="str">
        <x:v>https://www.tbilaw.co.uk/pricing/</x:v>
      </x:c>
      <x:c r="V12" s="18" t="str">
        <x:v>https://www.tbilaw.co.uk/complaints-procedure/</x:v>
      </x:c>
    </x:row>
    <x:row r="13">
      <x:c r="A13" s="18" t="str">
        <x:v>Kitson Boyce</x:v>
      </x:c>
      <x:c r="B13" s="18" t="str">
        <x:v>Probate / Employment</x:v>
      </x:c>
      <x:c r="C13" s="18" t="str">
        <x:v>Review</x:v>
      </x:c>
      <x:c r="D13" s="18" t="str">
        <x:v>Review</x:v>
      </x:c>
      <x:c r="E13" s="18" t="str">
        <x:v>Pass</x:v>
      </x:c>
      <x:c r="F13" s="18" t="str">
        <x:v>Review</x:v>
      </x:c>
      <x:c r="G13" s="18" t="str">
        <x:v>Review</x:v>
      </x:c>
      <x:c r="H13" s="18" t="str">
        <x:v>Pass</x:v>
      </x:c>
      <x:c r="I13" s="18" t="str">
        <x:v>Pass</x:v>
      </x:c>
      <x:c r="J13" s="18" t="str">
        <x:v>Pass</x:v>
      </x:c>
      <x:c r="K13" s="18" t="str">
        <x:v>Review</x:v>
      </x:c>
      <x:c r="L13" s="18" t="str">
        <x:v>Pass</x:v>
      </x:c>
      <x:c r="M13" s="18" t="str">
        <x:v>Pass</x:v>
      </x:c>
      <x:c r="N13" s="18" t="str">
        <x:v>Review</x:v>
      </x:c>
      <x:c r="O13" s="18" t="str">
        <x:v>Pass</x:v>
      </x:c>
      <x:c r="P13" s="18" t="str">
        <x:v>Review</x:v>
      </x:c>
      <x:c r="Q13" s="18" t="str">
        <x:v>Review</x:v>
      </x:c>
      <x:c r="R13" s="18" t="str">
        <x:v>Review</x:v>
      </x:c>
      <x:c r="S13" s="18" t="str">
        <x:v>Pass</x:v>
      </x:c>
      <x:c r="T13" s="18" t="str">
        <x:v>Strong service-specific pricing; employment pages explicitly include role/rate detail.</x:v>
      </x:c>
      <x:c r="U13" s="18" t="str">
        <x:v>https://www.kitsonboyce.co.uk/pricing/</x:v>
      </x:c>
      <x:c r="V13" s="18" t="str">
        <x:v>https://www.kitsonboyce.co.uk/complaints/</x:v>
      </x:c>
    </x:row>
    <x:row r="14">
      <x:c r="A14" s="18" t="str">
        <x:v>Rothera Bray</x:v>
      </x:c>
      <x:c r="B14" s="18" t="str">
        <x:v>Conveyancing / Employment</x:v>
      </x:c>
      <x:c r="C14" s="18" t="str">
        <x:v>Review</x:v>
      </x:c>
      <x:c r="D14" s="18" t="str">
        <x:v>Review</x:v>
      </x:c>
      <x:c r="E14" s="18" t="str">
        <x:v>Pass</x:v>
      </x:c>
      <x:c r="F14" s="18" t="str">
        <x:v>Pass</x:v>
      </x:c>
      <x:c r="G14" s="18" t="str">
        <x:v>Pass</x:v>
      </x:c>
      <x:c r="H14" s="18" t="str">
        <x:v>Pass</x:v>
      </x:c>
      <x:c r="I14" s="18" t="str">
        <x:v>Pass</x:v>
      </x:c>
      <x:c r="J14" s="18" t="str">
        <x:v>Review</x:v>
      </x:c>
      <x:c r="K14" s="18" t="str">
        <x:v>Review</x:v>
      </x:c>
      <x:c r="L14" s="18" t="str">
        <x:v>Pass</x:v>
      </x:c>
      <x:c r="M14" s="18" t="str">
        <x:v>Pass</x:v>
      </x:c>
      <x:c r="N14" s="18" t="str">
        <x:v>Review</x:v>
      </x:c>
      <x:c r="O14" s="18" t="str">
        <x:v>Pass</x:v>
      </x:c>
      <x:c r="P14" s="18" t="str">
        <x:v>Pass</x:v>
      </x:c>
      <x:c r="Q14" s="18" t="str">
        <x:v>Review</x:v>
      </x:c>
      <x:c r="R14" s="18" t="str">
        <x:v>Review</x:v>
      </x:c>
      <x:c r="S14" s="18" t="str">
        <x:v>Pass</x:v>
      </x:c>
      <x:c r="T14" s="18" t="str">
        <x:v>Clear complaints page contains both Legal Ombudsman and SRA routes; modern service-specific pricing pages.</x:v>
      </x:c>
      <x:c r="U14" s="18" t="str">
        <x:v>https://rotherabray.co.uk/conveyancing-solicitors/freehold-sale-or-purchase-fees/</x:v>
      </x:c>
      <x:c r="V14" s="18" t="str">
        <x:v>https://rotherabray.co.uk/legal/complaints-procedure/</x:v>
      </x:c>
    </x:row>
    <x:row r="15">
      <x:c r="A15" s="18" t="str">
        <x:v>Mayo Wynne Baxter</x:v>
      </x:c>
      <x:c r="B15" s="18" t="str">
        <x:v>Conveyancing / Employment</x:v>
      </x:c>
      <x:c r="C15" s="18" t="str">
        <x:v>Review</x:v>
      </x:c>
      <x:c r="D15" s="18" t="str">
        <x:v>Review</x:v>
      </x:c>
      <x:c r="E15" s="18" t="str">
        <x:v>Pass</x:v>
      </x:c>
      <x:c r="F15" s="18" t="str">
        <x:v>Pass</x:v>
      </x:c>
      <x:c r="G15" s="18" t="str">
        <x:v>Pass</x:v>
      </x:c>
      <x:c r="H15" s="18" t="str">
        <x:v>Pass</x:v>
      </x:c>
      <x:c r="I15" s="18" t="str">
        <x:v>Pass</x:v>
      </x:c>
      <x:c r="J15" s="18" t="str">
        <x:v>Review</x:v>
      </x:c>
      <x:c r="K15" s="18" t="str">
        <x:v>Review</x:v>
      </x:c>
      <x:c r="L15" s="18" t="str">
        <x:v>Pass</x:v>
      </x:c>
      <x:c r="M15" s="18" t="str">
        <x:v>Pass</x:v>
      </x:c>
      <x:c r="N15" s="18" t="str">
        <x:v>Review</x:v>
      </x:c>
      <x:c r="O15" s="18" t="str">
        <x:v>Pass</x:v>
      </x:c>
      <x:c r="P15" s="18" t="str">
        <x:v>Pass</x:v>
      </x:c>
      <x:c r="Q15" s="18" t="str">
        <x:v>Review</x:v>
      </x:c>
      <x:c r="R15" s="18" t="str">
        <x:v>Review</x:v>
      </x:c>
      <x:c r="S15" s="18" t="str">
        <x:v>Pass</x:v>
      </x:c>
      <x:c r="T15" s="18" t="str">
        <x:v>Long all-in-one pricing page plus clear complaints page; good semantic extraction benchmark.</x:v>
      </x:c>
      <x:c r="U15" s="18" t="str">
        <x:v>https://www.mayowynnebaxter.co.uk/about-us/pricing/</x:v>
      </x:c>
      <x:c r="V15" s="18" t="str">
        <x:v>https://www.mayowynnebaxter.co.uk/complaints/</x:v>
      </x:c>
    </x:row>
    <x:row r="16">
      <x:c r="A16" s="18" t="str">
        <x:v>Stephens Scown</x:v>
      </x:c>
      <x:c r="B16" s="18" t="str">
        <x:v>Probate / Conveyancing / Employment</x:v>
      </x:c>
      <x:c r="C16" s="18" t="str">
        <x:v>Review</x:v>
      </x:c>
      <x:c r="D16" s="18" t="str">
        <x:v>Review</x:v>
      </x:c>
      <x:c r="E16" s="18" t="str">
        <x:v>Pass</x:v>
      </x:c>
      <x:c r="F16" s="18" t="str">
        <x:v>Review</x:v>
      </x:c>
      <x:c r="G16" s="18" t="str">
        <x:v>Review</x:v>
      </x:c>
      <x:c r="H16" s="18" t="str">
        <x:v>Pass</x:v>
      </x:c>
      <x:c r="I16" s="18" t="str">
        <x:v>Pass</x:v>
      </x:c>
      <x:c r="J16" s="18" t="str">
        <x:v>Review</x:v>
      </x:c>
      <x:c r="K16" s="18" t="str">
        <x:v>Review</x:v>
      </x:c>
      <x:c r="L16" s="18" t="str">
        <x:v>Review</x:v>
      </x:c>
      <x:c r="M16" s="18" t="str">
        <x:v>Pass</x:v>
      </x:c>
      <x:c r="N16" s="18" t="str">
        <x:v>Review</x:v>
      </x:c>
      <x:c r="O16" s="18" t="str">
        <x:v>Pass</x:v>
      </x:c>
      <x:c r="P16" s="18" t="str">
        <x:v>Pass</x:v>
      </x:c>
      <x:c r="Q16" s="18" t="str">
        <x:v>Pass</x:v>
      </x:c>
      <x:c r="R16" s="18" t="str">
        <x:v>Pass</x:v>
      </x:c>
      <x:c r="S16" s="18" t="str">
        <x:v>Pass</x:v>
      </x:c>
      <x:c r="T16" s="18" t="str">
        <x:v>Pricing hub links several service guides; probate guide/PDF mix useful for document discovery.</x:v>
      </x:c>
      <x:c r="U16" s="18" t="str">
        <x:v>https://www.stephens-scown.co.uk/about-us/pricing/</x:v>
      </x:c>
      <x:c r="V16" s="18" t="str">
        <x:v>https://www.stephens-scown.co.uk/legal-notices/complaints-procedure/</x:v>
      </x:c>
    </x:row>
  </x:sheetData>
  <x:pageMargins left="0.7" right="0.7" top="0.75" bottom="0.75" header="0.3" footer="0.3"/>
  <x:tableParts count="1">
    <x:tablePart xmlns:r="http://schemas.openxmlformats.org/officeDocument/2006/relationships" r:id="R51b61f9c7abc4a1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4" hidden="0" customWidth="1"/>
    <x:col min="4" max="4" width="18" hidden="0" customWidth="1"/>
    <x:col min="5" max="5" width="28" hidden="0" customWidth="1"/>
    <x:col min="6" max="6" width="34" hidden="0" customWidth="1"/>
    <x:col min="7" max="7" width="50" hidden="0" customWidth="1"/>
    <x:col min="8" max="8" width="60" hidden="0" customWidth="1"/>
  </x:cols>
  <x:sheetData>
    <x:row r="1">
      <x:c r="A1" s="11" t="str">
        <x:v>Rule code</x:v>
      </x:c>
      <x:c r="B1" s="11" t="str">
        <x:v>Rule</x:v>
      </x:c>
      <x:c r="C1" s="11" t="str">
        <x:v>Severity</x:v>
      </x:c>
      <x:c r="D1" s="11" t="str">
        <x:v>Category</x:v>
      </x:c>
      <x:c r="E1" s="11" t="str">
        <x:v>Suggested detector</x:v>
      </x:c>
      <x:c r="F1" s="11" t="str">
        <x:v>Machine state options</x:v>
      </x:c>
      <x:c r="G1" s="11" t="str">
        <x:v>Human benchmark guidance</x:v>
      </x:c>
      <x:c r="H1" s="11" t="str">
        <x:v>Regulatory source</x:v>
      </x:c>
    </x:row>
    <x:row r="2">
      <x:c r="A2" s="18" t="str">
        <x:v>LAW-U001</x:v>
      </x:c>
      <x:c r="B2" s="18" t="str">
        <x:v>SRA number detectable</x:v>
      </x:c>
      <x:c r="C2" s="18" t="str">
        <x:v>High</x:v>
      </x:c>
      <x:c r="D2" s="18" t="str">
        <x:v>Universal</x:v>
      </x:c>
      <x:c r="E2" s="18" t="str">
        <x:v>Regex / structured extraction</x:v>
      </x:c>
      <x:c r="F2" s="18" t="str">
        <x:v>PASS / WARNING / POTENTIAL_ISSUE / UNKNOWN / NOT_APPLICABLE</x:v>
      </x:c>
      <x:c r="G2" s="18" t="str">
        <x:v>Pass only where the public evidence is directly observable; Review/Unknown must not be treated as failure.</x:v>
      </x:c>
      <x:c r="H2" s="18" t="str">
        <x:v>https://www.sra.org.uk/solicitors/standards-regulations/transparency-rules/</x:v>
      </x:c>
    </x:row>
    <x:row r="3">
      <x:c r="A3" s="18" t="str">
        <x:v>LAW-U002</x:v>
      </x:c>
      <x:c r="B3" s="18" t="str">
        <x:v>SRA digital badge detectable</x:v>
      </x:c>
      <x:c r="C3" s="18" t="str">
        <x:v>High</x:v>
      </x:c>
      <x:c r="D3" s="18" t="str">
        <x:v>Universal</x:v>
      </x:c>
      <x:c r="E3" s="18" t="str">
        <x:v>DOM/script/link detection</x:v>
      </x:c>
      <x:c r="F3" s="18" t="str">
        <x:v>PASS / WARNING / POTENTIAL_ISSUE / UNKNOWN / NOT_APPLICABLE</x:v>
      </x:c>
      <x:c r="G3" s="18" t="str">
        <x:v>Pass only where the public evidence is directly observable; Review/Unknown must not be treated as failure.</x:v>
      </x:c>
      <x:c r="H3" s="18" t="str">
        <x:v>https://www.sra.org.uk/solicitors/standards-regulations/transparency-rules/</x:v>
      </x:c>
    </x:row>
    <x:row r="4">
      <x:c r="A4" s="18" t="str">
        <x:v>LAW-U004</x:v>
      </x:c>
      <x:c r="B4" s="18" t="str">
        <x:v>Complaints procedure located</x:v>
      </x:c>
      <x:c r="C4" s="18" t="str">
        <x:v>High</x:v>
      </x:c>
      <x:c r="D4" s="18" t="str">
        <x:v>Universal</x:v>
      </x:c>
      <x:c r="E4" s="18" t="str">
        <x:v>Page/document classification</x:v>
      </x:c>
      <x:c r="F4" s="18" t="str">
        <x:v>PASS / WARNING / POTENTIAL_ISSUE / UNKNOWN / NOT_APPLICABLE</x:v>
      </x:c>
      <x:c r="G4" s="18" t="str">
        <x:v>Pass only where the public evidence is directly observable; Review/Unknown must not be treated as failure.</x:v>
      </x:c>
      <x:c r="H4" s="18" t="str">
        <x:v>https://www.sra.org.uk/solicitors/standards-regulations/transparency-rules/</x:v>
      </x:c>
    </x:row>
    <x:row r="5">
      <x:c r="A5" s="18" t="str">
        <x:v>LAW-U005</x:v>
      </x:c>
      <x:c r="B5" s="18" t="str">
        <x:v>Legal Ombudsman information located</x:v>
      </x:c>
      <x:c r="C5" s="18" t="str">
        <x:v>High</x:v>
      </x:c>
      <x:c r="D5" s="18" t="str">
        <x:v>Universal</x:v>
      </x:c>
      <x:c r="E5" s="18" t="str">
        <x:v>Deterministic + semantic</x:v>
      </x:c>
      <x:c r="F5" s="18" t="str">
        <x:v>PASS / WARNING / POTENTIAL_ISSUE / UNKNOWN / NOT_APPLICABLE</x:v>
      </x:c>
      <x:c r="G5" s="18" t="str">
        <x:v>Pass only where the public evidence is directly observable; Review/Unknown must not be treated as failure.</x:v>
      </x:c>
      <x:c r="H5" s="18" t="str">
        <x:v>https://www.sra.org.uk/solicitors/standards-regulations/transparency-rules/</x:v>
      </x:c>
    </x:row>
    <x:row r="6">
      <x:c r="A6" s="18" t="str">
        <x:v>LAW-U008</x:v>
      </x:c>
      <x:c r="B6" s="18" t="str">
        <x:v>SRA complaints/conduct information located</x:v>
      </x:c>
      <x:c r="C6" s="18" t="str">
        <x:v>High</x:v>
      </x:c>
      <x:c r="D6" s="18" t="str">
        <x:v>Universal</x:v>
      </x:c>
      <x:c r="E6" s="18" t="str">
        <x:v>Deterministic + semantic</x:v>
      </x:c>
      <x:c r="F6" s="18" t="str">
        <x:v>PASS / WARNING / POTENTIAL_ISSUE / UNKNOWN / NOT_APPLICABLE</x:v>
      </x:c>
      <x:c r="G6" s="18" t="str">
        <x:v>Pass only where the public evidence is directly observable; Review/Unknown must not be treated as failure.</x:v>
      </x:c>
      <x:c r="H6" s="18" t="str">
        <x:v>https://www.sra.org.uk/solicitors/standards-regulations/transparency-rules/</x:v>
      </x:c>
    </x:row>
    <x:row r="7">
      <x:c r="A7" s="18" t="str">
        <x:v>PRICE-001</x:v>
      </x:c>
      <x:c r="B7" s="18" t="str">
        <x:v>Total / average / range of costs</x:v>
      </x:c>
      <x:c r="C7" s="18" t="str">
        <x:v>High</x:v>
      </x:c>
      <x:c r="D7" s="18" t="str">
        <x:v>Pricing</x:v>
      </x:c>
      <x:c r="E7" s="18" t="str">
        <x:v>Deterministic + semantic</x:v>
      </x:c>
      <x:c r="F7" s="18" t="str">
        <x:v>PASS / WARNING / POTENTIAL_ISSUE / UNKNOWN / NOT_APPLICABLE</x:v>
      </x:c>
      <x:c r="G7" s="18" t="str">
        <x:v>Pass only where the public evidence is directly observable; Review/Unknown must not be treated as failure.</x:v>
      </x:c>
      <x:c r="H7" s="18" t="str">
        <x:v>https://www.sra.org.uk/solicitors/standards-regulations/transparency-rules/</x:v>
      </x:c>
    </x:row>
    <x:row r="8">
      <x:c r="A8" s="18" t="str">
        <x:v>PRICE-002</x:v>
      </x:c>
      <x:c r="B8" s="18" t="str">
        <x:v>Basis of charging explained</x:v>
      </x:c>
      <x:c r="C8" s="18" t="str">
        <x:v>High</x:v>
      </x:c>
      <x:c r="D8" s="18" t="str">
        <x:v>Pricing</x:v>
      </x:c>
      <x:c r="E8" s="18" t="str">
        <x:v>Semantic</x:v>
      </x:c>
      <x:c r="F8" s="18" t="str">
        <x:v>PASS / WARNING / POTENTIAL_ISSUE / UNKNOWN / NOT_APPLICABLE</x:v>
      </x:c>
      <x:c r="G8" s="18" t="str">
        <x:v>Pass only where the public evidence is directly observable; Review/Unknown must not be treated as failure.</x:v>
      </x:c>
      <x:c r="H8" s="18" t="str">
        <x:v>https://www.sra.org.uk/solicitors/standards-regulations/transparency-rules/</x:v>
      </x:c>
    </x:row>
    <x:row r="9">
      <x:c r="A9" s="18" t="str">
        <x:v>PRICE-004</x:v>
      </x:c>
      <x:c r="B9" s="18" t="str">
        <x:v>Fee-earner experience / qualifications</x:v>
      </x:c>
      <x:c r="C9" s="18" t="str">
        <x:v>High</x:v>
      </x:c>
      <x:c r="D9" s="18" t="str">
        <x:v>Pricing</x:v>
      </x:c>
      <x:c r="E9" s="18" t="str">
        <x:v>Semantic</x:v>
      </x:c>
      <x:c r="F9" s="18" t="str">
        <x:v>PASS / WARNING / POTENTIAL_ISSUE / UNKNOWN / NOT_APPLICABLE</x:v>
      </x:c>
      <x:c r="G9" s="18" t="str">
        <x:v>Pass only where the public evidence is directly observable; Review/Unknown must not be treated as failure.</x:v>
      </x:c>
      <x:c r="H9" s="18" t="str">
        <x:v>https://www.sra.org.uk/solicitors/standards-regulations/transparency-rules/</x:v>
      </x:c>
    </x:row>
    <x:row r="10">
      <x:c r="A10" s="18" t="str">
        <x:v>PRICE-005</x:v>
      </x:c>
      <x:c r="B10" s="18" t="str">
        <x:v>Supervisor experience / qualifications</x:v>
      </x:c>
      <x:c r="C10" s="18" t="str">
        <x:v>High</x:v>
      </x:c>
      <x:c r="D10" s="18" t="str">
        <x:v>Pricing</x:v>
      </x:c>
      <x:c r="E10" s="18" t="str">
        <x:v>Semantic</x:v>
      </x:c>
      <x:c r="F10" s="18" t="str">
        <x:v>PASS / WARNING / POTENTIAL_ISSUE / UNKNOWN / NOT_APPLICABLE</x:v>
      </x:c>
      <x:c r="G10" s="18" t="str">
        <x:v>Pass only where the public evidence is directly observable; Review/Unknown must not be treated as failure.</x:v>
      </x:c>
      <x:c r="H10" s="18" t="str">
        <x:v>https://www.sra.org.uk/solicitors/standards-regulations/transparency-rules/</x:v>
      </x:c>
    </x:row>
    <x:row r="11">
      <x:c r="A11" s="18" t="str">
        <x:v>PRICE-006</x:v>
      </x:c>
      <x:c r="B11" s="18" t="str">
        <x:v>Likely disbursements identified</x:v>
      </x:c>
      <x:c r="C11" s="18" t="str">
        <x:v>High</x:v>
      </x:c>
      <x:c r="D11" s="18" t="str">
        <x:v>Pricing</x:v>
      </x:c>
      <x:c r="E11" s="18" t="str">
        <x:v>Semantic</x:v>
      </x:c>
      <x:c r="F11" s="18" t="str">
        <x:v>PASS / WARNING / POTENTIAL_ISSUE / UNKNOWN / NOT_APPLICABLE</x:v>
      </x:c>
      <x:c r="G11" s="18" t="str">
        <x:v>Pass only where the public evidence is directly observable; Review/Unknown must not be treated as failure.</x:v>
      </x:c>
      <x:c r="H11" s="18" t="str">
        <x:v>https://www.sra.org.uk/solicitors/standards-regulations/transparency-rules/</x:v>
      </x:c>
    </x:row>
    <x:row r="12">
      <x:c r="A12" s="18" t="str">
        <x:v>PRICE-008</x:v>
      </x:c>
      <x:c r="B12" s="18" t="str">
        <x:v>VAT treatment of fees stated</x:v>
      </x:c>
      <x:c r="C12" s="18" t="str">
        <x:v>High</x:v>
      </x:c>
      <x:c r="D12" s="18" t="str">
        <x:v>Pricing</x:v>
      </x:c>
      <x:c r="E12" s="18" t="str">
        <x:v>Semantic</x:v>
      </x:c>
      <x:c r="F12" s="18" t="str">
        <x:v>PASS / WARNING / POTENTIAL_ISSUE / UNKNOWN / NOT_APPLICABLE</x:v>
      </x:c>
      <x:c r="G12" s="18" t="str">
        <x:v>Pass only where the public evidence is directly observable; Review/Unknown must not be treated as failure.</x:v>
      </x:c>
      <x:c r="H12" s="18" t="str">
        <x:v>https://www.sra.org.uk/solicitors/standards-regulations/transparency-rules/</x:v>
      </x:c>
    </x:row>
    <x:row r="13">
      <x:c r="A13" s="18" t="str">
        <x:v>PRICE-010</x:v>
      </x:c>
      <x:c r="B13" s="18" t="str">
        <x:v>VAT treatment of disbursements clear</x:v>
      </x:c>
      <x:c r="C13" s="18" t="str">
        <x:v>High</x:v>
      </x:c>
      <x:c r="D13" s="18" t="str">
        <x:v>Pricing</x:v>
      </x:c>
      <x:c r="E13" s="18" t="str">
        <x:v>Semantic</x:v>
      </x:c>
      <x:c r="F13" s="18" t="str">
        <x:v>PASS / WARNING / POTENTIAL_ISSUE / UNKNOWN / NOT_APPLICABLE</x:v>
      </x:c>
      <x:c r="G13" s="18" t="str">
        <x:v>Pass only where the public evidence is directly observable; Review/Unknown must not be treated as failure.</x:v>
      </x:c>
      <x:c r="H13" s="18" t="str">
        <x:v>https://www.sra.org.uk/solicitors/standards-regulations/transparency-rules/</x:v>
      </x:c>
    </x:row>
    <x:row r="14">
      <x:c r="A14" s="18" t="str">
        <x:v>PRICE-011</x:v>
      </x:c>
      <x:c r="B14" s="18" t="str">
        <x:v>Services included explained</x:v>
      </x:c>
      <x:c r="C14" s="18" t="str">
        <x:v>High</x:v>
      </x:c>
      <x:c r="D14" s="18" t="str">
        <x:v>Pricing</x:v>
      </x:c>
      <x:c r="E14" s="18" t="str">
        <x:v>Semantic</x:v>
      </x:c>
      <x:c r="F14" s="18" t="str">
        <x:v>PASS / WARNING / POTENTIAL_ISSUE / UNKNOWN / NOT_APPLICABLE</x:v>
      </x:c>
      <x:c r="G14" s="18" t="str">
        <x:v>Pass only where the public evidence is directly observable; Review/Unknown must not be treated as failure.</x:v>
      </x:c>
      <x:c r="H14" s="18" t="str">
        <x:v>https://www.sra.org.uk/solicitors/standards-regulations/transparency-rules/</x:v>
      </x:c>
    </x:row>
    <x:row r="15">
      <x:c r="A15" s="18" t="str">
        <x:v>PRICE-012</x:v>
      </x:c>
      <x:c r="B15" s="18" t="str">
        <x:v>Expected exclusions explained</x:v>
      </x:c>
      <x:c r="C15" s="18" t="str">
        <x:v>Medium/High</x:v>
      </x:c>
      <x:c r="D15" s="18" t="str">
        <x:v>Pricing</x:v>
      </x:c>
      <x:c r="E15" s="18" t="str">
        <x:v>Semantic</x:v>
      </x:c>
      <x:c r="F15" s="18" t="str">
        <x:v>PASS / WARNING / POTENTIAL_ISSUE / UNKNOWN / NOT_APPLICABLE</x:v>
      </x:c>
      <x:c r="G15" s="18" t="str">
        <x:v>Pass only where the public evidence is directly observable; Review/Unknown must not be treated as failure.</x:v>
      </x:c>
      <x:c r="H15" s="18" t="str">
        <x:v>https://www.sra.org.uk/solicitors/standards-regulations/transparency-rules/</x:v>
      </x:c>
    </x:row>
    <x:row r="16">
      <x:c r="A16" s="18" t="str">
        <x:v>PRICE-013</x:v>
      </x:c>
      <x:c r="B16" s="18" t="str">
        <x:v>Key stages described</x:v>
      </x:c>
      <x:c r="C16" s="18" t="str">
        <x:v>High</x:v>
      </x:c>
      <x:c r="D16" s="18" t="str">
        <x:v>Pricing</x:v>
      </x:c>
      <x:c r="E16" s="18" t="str">
        <x:v>Semantic</x:v>
      </x:c>
      <x:c r="F16" s="18" t="str">
        <x:v>PASS / WARNING / POTENTIAL_ISSUE / UNKNOWN / NOT_APPLICABLE</x:v>
      </x:c>
      <x:c r="G16" s="18" t="str">
        <x:v>Pass only where the public evidence is directly observable; Review/Unknown must not be treated as failure.</x:v>
      </x:c>
      <x:c r="H16" s="18" t="str">
        <x:v>https://www.sra.org.uk/solicitors/standards-regulations/transparency-rules/</x:v>
      </x:c>
    </x:row>
    <x:row r="17">
      <x:c r="A17" s="18" t="str">
        <x:v>PRICE-014</x:v>
      </x:c>
      <x:c r="B17" s="18" t="str">
        <x:v>Likely / typical timescales</x:v>
      </x:c>
      <x:c r="C17" s="18" t="str">
        <x:v>High</x:v>
      </x:c>
      <x:c r="D17" s="18" t="str">
        <x:v>Pricing</x:v>
      </x:c>
      <x:c r="E17" s="18" t="str">
        <x:v>Semantic</x:v>
      </x:c>
      <x:c r="F17" s="18" t="str">
        <x:v>PASS / WARNING / POTENTIAL_ISSUE / UNKNOWN / NOT_APPLICABLE</x:v>
      </x:c>
      <x:c r="G17" s="18" t="str">
        <x:v>Pass only where the public evidence is directly observable; Review/Unknown must not be treated as failure.</x:v>
      </x:c>
      <x:c r="H17" s="18" t="str">
        <x:v>https://www.sra.org.uk/solicitors/standards-regulations/transparency-rules/</x:v>
      </x:c>
    </x:row>
    <x:row r="18">
      <x:c r="A18" s="18" t="str">
        <x:v>PRICE-016</x:v>
      </x:c>
      <x:c r="B18" s="18" t="str">
        <x:v>Pricing clear and accessible</x:v>
      </x:c>
      <x:c r="C18" s="18" t="str">
        <x:v>Medium</x:v>
      </x:c>
      <x:c r="D18" s="18" t="str">
        <x:v>Pricing</x:v>
      </x:c>
      <x:c r="E18" s="18" t="str">
        <x:v>Structure / click-depth</x:v>
      </x:c>
      <x:c r="F18" s="18" t="str">
        <x:v>PASS / WARNING / POTENTIAL_ISSUE / UNKNOWN / NOT_APPLICABLE</x:v>
      </x:c>
      <x:c r="G18" s="18" t="str">
        <x:v>Pass only where the public evidence is directly observable; Review/Unknown must not be treated as failure.</x:v>
      </x:c>
      <x:c r="H18" s="18" t="str">
        <x:v>https://www.sra.org.uk/solicitors/standards-regulations/transparency-rules/</x:v>
      </x:c>
    </x:row>
    <x:row r="19">
      <x:c r="A19" s="18" t="str">
        <x:v>CHANGE-001</x:v>
      </x:c>
      <x:c r="B19" s="18" t="str">
        <x:v>Important pricing page disappears</x:v>
      </x:c>
      <x:c r="C19" s="18" t="str">
        <x:v>High</x:v>
      </x:c>
      <x:c r="D19" s="18" t="str">
        <x:v>Change detection</x:v>
      </x:c>
      <x:c r="E19" s="18" t="str">
        <x:v>Snapshot diff</x:v>
      </x:c>
      <x:c r="F19" s="18" t="str">
        <x:v>PASS / WARNING / POTENTIAL_ISSUE / UNKNOWN / NOT_APPLICABLE</x:v>
      </x:c>
      <x:c r="G19" s="18" t="str">
        <x:v>Pass only where the public evidence is directly observable; Review/Unknown must not be treated as failure.</x:v>
      </x:c>
      <x:c r="H19" s="18" t="str"/>
    </x:row>
    <x:row r="20">
      <x:c r="A20" s="18" t="str">
        <x:v>CHANGE-002</x:v>
      </x:c>
      <x:c r="B20" s="18" t="str">
        <x:v>Complaints page disappears</x:v>
      </x:c>
      <x:c r="C20" s="18" t="str">
        <x:v>High</x:v>
      </x:c>
      <x:c r="D20" s="18" t="str">
        <x:v>Change detection</x:v>
      </x:c>
      <x:c r="E20" s="18" t="str">
        <x:v>Snapshot diff</x:v>
      </x:c>
      <x:c r="F20" s="18" t="str">
        <x:v>PASS / WARNING / POTENTIAL_ISSUE / UNKNOWN / NOT_APPLICABLE</x:v>
      </x:c>
      <x:c r="G20" s="18" t="str">
        <x:v>Pass only where the public evidence is directly observable; Review/Unknown must not be treated as failure.</x:v>
      </x:c>
      <x:c r="H20" s="18" t="str"/>
    </x:row>
    <x:row r="21">
      <x:c r="A21" s="18" t="str">
        <x:v>CHANGE-003</x:v>
      </x:c>
      <x:c r="B21" s="18" t="str">
        <x:v>SRA signal disappears</x:v>
      </x:c>
      <x:c r="C21" s="18" t="str">
        <x:v>High</x:v>
      </x:c>
      <x:c r="D21" s="18" t="str">
        <x:v>Change detection</x:v>
      </x:c>
      <x:c r="E21" s="18" t="str">
        <x:v>Snapshot diff</x:v>
      </x:c>
      <x:c r="F21" s="18" t="str">
        <x:v>PASS / WARNING / POTENTIAL_ISSUE / UNKNOWN / NOT_APPLICABLE</x:v>
      </x:c>
      <x:c r="G21" s="18" t="str">
        <x:v>Pass only where the public evidence is directly observable; Review/Unknown must not be treated as failure.</x:v>
      </x:c>
      <x:c r="H21" s="18" t="str"/>
    </x:row>
  </x:sheetData>
  <x:pageMargins left="0.7" right="0.7" top="0.75" bottom="0.75" header="0.3" footer="0.3"/>
  <x:tableParts count="1">
    <x:tablePart xmlns:r="http://schemas.openxmlformats.org/officeDocument/2006/relationships" r:id="R31e38a6bb39f4dd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40" hidden="0" customWidth="1"/>
    <x:col min="4" max="4" width="34" hidden="0" customWidth="1"/>
    <x:col min="5" max="5" width="38" hidden="0" customWidth="1"/>
    <x:col min="6" max="6" width="38" hidden="0" customWidth="1"/>
  </x:cols>
  <x:sheetData>
    <x:row r="1">
      <x:c r="A1" s="4" t="str">
        <x:v>How to use this validation workbook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1" t="str">
        <x:v>Status</x:v>
      </x:c>
      <x:c r="B4" s="11" t="str">
        <x:v>Meaning</x:v>
      </x:c>
      <x:c r="C4" s="11" t="str">
        <x:v>Use when</x:v>
      </x:c>
      <x:c r="D4" s="11" t="str">
        <x:v>Do NOT infer</x:v>
      </x:c>
      <x:c r="E4" s="11" t="str">
        <x:v>Example</x:v>
      </x:c>
      <x:c r="F4" s="11" t="str">
        <x:v>Action</x:v>
      </x:c>
    </x:row>
    <x:row r="5">
      <x:c r="A5" s="18" t="str">
        <x:v>Pass</x:v>
      </x:c>
      <x:c r="B5" s="18" t="str">
        <x:v>Directly evidenced</x:v>
      </x:c>
      <x:c r="C5" s="18" t="str">
        <x:v>A human can point to exact public page/text</x:v>
      </x:c>
      <x:c r="D5" s="18" t="str">
        <x:v>Full legal compliance</x:v>
      </x:c>
      <x:c r="E5" s="18" t="str">
        <x:v>VAT and fee range explicitly shown</x:v>
      </x:c>
      <x:c r="F5" s="18" t="str">
        <x:v>Expected WatchLayer result = PASS</x:v>
      </x:c>
    </x:row>
    <x:row r="6">
      <x:c r="A6" s="18" t="str">
        <x:v>Review</x:v>
      </x:c>
      <x:c r="B6" s="18" t="str">
        <x:v>Likely present but needs confirmation</x:v>
      </x:c>
      <x:c r="C6" s="18" t="str">
        <x:v>Hub/search result strongly indicates coverage</x:v>
      </x:c>
      <x:c r="D6" s="18" t="str">
        <x:v>Failure</x:v>
      </x:c>
      <x:c r="E6" s="18" t="str">
        <x:v>Pricing hub says stages exist but detail not checked</x:v>
      </x:c>
      <x:c r="F6" s="18" t="str">
        <x:v>Use semantic check or manual confirmation</x:v>
      </x:c>
    </x:row>
    <x:row r="7">
      <x:c r="A7" s="18" t="str">
        <x:v>Unknown</x:v>
      </x:c>
      <x:c r="B7" s="18" t="str">
        <x:v>Not established</x:v>
      </x:c>
      <x:c r="C7" s="18" t="str">
        <x:v>No reliable evidence in this pass</x:v>
      </x:c>
      <x:c r="D7" s="18" t="str">
        <x:v>Failure</x:v>
      </x:c>
      <x:c r="E7" s="18" t="str">
        <x:v>SRA badge not checked in DOM yet</x:v>
      </x:c>
      <x:c r="F7" s="18" t="str">
        <x:v>Do not penalise</x:v>
      </x:c>
    </x:row>
    <x:row r="8">
      <x:c r="A8" s="18" t="str">
        <x:v>N/A</x:v>
      </x:c>
      <x:c r="B8" s="18" t="str">
        <x:v>Rule does not apply</x:v>
      </x:c>
      <x:c r="C8" s="18" t="str">
        <x:v>Service/rule not applicable</x:v>
      </x:c>
      <x:c r="D8" s="18" t="str">
        <x:v>Pass</x:v>
      </x:c>
      <x:c r="E8" s="18" t="str">
        <x:v>No debt-recovery service advertised</x:v>
      </x:c>
      <x:c r="F8" s="18" t="str">
        <x:v>Exclude from denominator</x:v>
      </x:c>
    </x:row>
    <x:row r="9">
      <x:c r="A9" s="18" t="str"/>
      <x:c r="B9" s="18" t="str"/>
      <x:c r="C9" s="18" t="str"/>
      <x:c r="D9" s="18" t="str"/>
      <x:c r="E9" s="18" t="str"/>
      <x:c r="F9" s="18" t="str"/>
    </x:row>
    <x:row r="10">
      <x:c r="A10" s="18" t="str">
        <x:v>Benchmark method</x:v>
      </x:c>
      <x:c r="B10" s="18" t="str">
        <x:v>Confirm service applicability → locate regulatory surface → record exact source → score conservatively → preserve evidence if needed</x:v>
      </x:c>
      <x:c r="C10" s="18" t="str"/>
      <x:c r="D10" s="18" t="str"/>
      <x:c r="E10" s="18" t="str"/>
      <x:c r="F10" s="18" t="str"/>
    </x:row>
    <x:row r="11">
      <x:c r="A11" s="18" t="str">
        <x:v>Gold cohort purpose</x:v>
      </x:c>
      <x:c r="B11" s="18" t="str">
        <x:v>Measure WatchLayer precision/recall against human judgement</x:v>
      </x:c>
      <x:c r="C11" s="18" t="str"/>
      <x:c r="D11" s="18" t="str"/>
      <x:c r="E11" s="18" t="str"/>
      <x:c r="F11" s="18" t="str"/>
    </x:row>
    <x:row r="12">
      <x:c r="A12" s="18" t="str">
        <x:v>Acceptance target</x:v>
      </x:c>
      <x:c r="B12" s="18" t="str">
        <x:v>High/Critical customer alerts should reach ~95% precision before launch</x:v>
      </x:c>
      <x:c r="C12" s="18" t="str"/>
      <x:c r="D12" s="18" t="str"/>
      <x:c r="E12" s="18" t="str"/>
      <x:c r="F12" s="18" t="str"/>
    </x:row>
  </x:sheetData>
  <x:mergeCells>
    <x:mergeCell ref="A1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4" hidden="0" customWidth="1"/>
    <x:col min="3" max="3" width="54" hidden="0" customWidth="1"/>
  </x:cols>
  <x:sheetData>
    <x:row r="1">
      <x:c r="A1" s="11" t="str">
        <x:v>Source</x:v>
      </x:c>
      <x:c r="B1" s="11" t="str">
        <x:v>URL</x:v>
      </x:c>
      <x:c r="C1" s="11" t="str">
        <x:v>Purpose</x:v>
      </x:c>
    </x:row>
    <x:row r="2">
      <x:c r="A2" s="18" t="str">
        <x:v>SRA Transparency Rules</x:v>
      </x:c>
      <x:c r="B2" s="18" t="str">
        <x:v>https://www.sra.org.uk/solicitors/standards-regulations/transparency-rules/</x:v>
      </x:c>
      <x:c r="C2" s="18" t="str">
        <x:v>Core rule basis</x:v>
      </x:c>
    </x:row>
    <x:row r="3">
      <x:c r="A3" s="18" t="str">
        <x:v>SRA web sweep</x:v>
      </x:c>
      <x:c r="B3" s="18" t="str">
        <x:v>https://www.sra.org.uk/sra/research-publications/web-sweep/</x:v>
      </x:c>
      <x:c r="C3" s="18" t="str">
        <x:v>Historical failure patterns / benchmark design</x:v>
      </x:c>
    </x:row>
    <x:row r="4">
      <x:c r="A4" s="18" t="str">
        <x:v>SRA transparency enforcement update</x:v>
      </x:c>
      <x:c r="B4" s="18" t="str">
        <x:v>https://www.sra.org.uk/news/news/press/2024-press-releases/updated-resources-comply-transparency-rules/</x:v>
      </x:c>
      <x:c r="C4" s="18" t="str">
        <x:v>Evidence of active enforcement</x:v>
      </x:c>
    </x:row>
    <x:row r="5">
      <x:c r="A5" s="18" t="str">
        <x:v>SRA Ashtons enforcement example</x:v>
      </x:c>
      <x:c r="B5" s="18" t="str">
        <x:v>https://www.sra.org.uk/consumers/solicitor-check/614351/</x:v>
      </x:c>
      <x:c r="C5" s="18" t="str">
        <x:v>Historical negative/repair case</x:v>
      </x:c>
    </x:row>
    <x:row r="6">
      <x:c r="A6" t="str">
        <x:v>SRA register - Birkett Long closure</x:v>
      </x:c>
      <x:c r="B6" t="str">
        <x:v>https://www.sra.org.uk/consumers/register/organisation/?sraNumber=488404</x:v>
      </x:c>
      <x:c r="C6" t="str">
        <x:v>Cohort maintenance / closed-firm example</x:v>
      </x:c>
    </x:row>
    <x:row r="7">
      <x:c r="A7" t="str">
        <x:v>Rachel Sebastian probate pricing</x:v>
      </x:c>
      <x:c r="B7" t="str">
        <x:v>https://www.rslegal.co.uk/probate.html</x:v>
      </x:c>
      <x:c r="C7" t="str">
        <x:v>Stale pricing/drift example</x:v>
      </x:c>
    </x:row>
    <x:row r="8">
      <x:c r="A8" t="str">
        <x:v>Sintons employment pricing</x:v>
      </x:c>
      <x:c r="B8" t="str">
        <x:v>https://sintons.co.uk/employment/pricing-individuals/</x:v>
      </x:c>
      <x:c r="C8" t="str">
        <x:v>Stale rate-review wording example</x:v>
      </x:c>
    </x:row>
    <x:row r="9">
      <x:c r="A9" t="str">
        <x:v>Russell-Cooke residential charging</x:v>
      </x:c>
      <x:c r="B9" t="str">
        <x:v>https://www.russell-cooke.co.uk/charging-information/residential-property-charging-information</x:v>
      </x:c>
      <x:c r="C9" t="str">
        <x:v>Strong positive benchmark</x:v>
      </x:c>
    </x:row>
    <x:row r="10">
      <x:c r="A10" t="str">
        <x:v>Birketts fees</x:v>
      </x:c>
      <x:c r="B10" t="str">
        <x:v>https://www.birketts.co.uk/fees/</x:v>
      </x:c>
      <x:c r="C10" t="str">
        <x:v>Replacement active firm; multi-service pricing hub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7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6" hidden="0" customWidth="1"/>
    <x:col min="21" max="21" width="24" hidden="0" customWidth="1"/>
    <x:col min="22" max="22" width="52" hidden="0" customWidth="1"/>
    <x:col min="23" max="23" width="48" hidden="0" customWidth="1"/>
    <x:col min="24" max="24" width="48" hidden="0" customWidth="1"/>
    <x:col min="25" max="25" width="48" hidden="0" customWidth="1"/>
  </x:cols>
  <x:sheetData>
    <x:row r="1">
      <x:c r="A1" s="24" t="str">
        <x:v>Firm</x:v>
      </x:c>
      <x:c r="B1" s="24" t="str">
        <x:v>Primary benchmark service</x:v>
      </x:c>
      <x:c r="C1" s="24" t="str">
        <x:v>LAW-U001</x:v>
      </x:c>
      <x:c r="D1" s="24" t="str">
        <x:v>LAW-U002</x:v>
      </x:c>
      <x:c r="E1" s="24" t="str">
        <x:v>LAW-U004</x:v>
      </x:c>
      <x:c r="F1" s="24" t="str">
        <x:v>LAW-U005</x:v>
      </x:c>
      <x:c r="G1" s="24" t="str">
        <x:v>LAW-U008</x:v>
      </x:c>
      <x:c r="H1" s="24" t="str">
        <x:v>PRICE-001</x:v>
      </x:c>
      <x:c r="I1" s="24" t="str">
        <x:v>PRICE-002</x:v>
      </x:c>
      <x:c r="J1" s="24" t="str">
        <x:v>PRICE-004</x:v>
      </x:c>
      <x:c r="K1" s="24" t="str">
        <x:v>PRICE-005</x:v>
      </x:c>
      <x:c r="L1" s="24" t="str">
        <x:v>PRICE-006</x:v>
      </x:c>
      <x:c r="M1" s="24" t="str">
        <x:v>PRICE-008</x:v>
      </x:c>
      <x:c r="N1" s="24" t="str">
        <x:v>PRICE-010</x:v>
      </x:c>
      <x:c r="O1" s="24" t="str">
        <x:v>PRICE-011</x:v>
      </x:c>
      <x:c r="P1" s="24" t="str">
        <x:v>PRICE-012</x:v>
      </x:c>
      <x:c r="Q1" s="24" t="str">
        <x:v>PRICE-013</x:v>
      </x:c>
      <x:c r="R1" s="24" t="str">
        <x:v>PRICE-014</x:v>
      </x:c>
      <x:c r="S1" s="24" t="str">
        <x:v>PRICE-016</x:v>
      </x:c>
      <x:c r="T1" s="24" t="str">
        <x:v>Benchmark confidence</x:v>
      </x:c>
      <x:c r="U1" s="24" t="str">
        <x:v>Commercial finding</x:v>
      </x:c>
      <x:c r="V1" s="24" t="str">
        <x:v>Reviewer notes</x:v>
      </x:c>
      <x:c r="W1" s="24" t="str">
        <x:v>Pricing source</x:v>
      </x:c>
      <x:c r="X1" s="24" t="str">
        <x:v>Complaints source</x:v>
      </x:c>
      <x:c r="Y1" s="24" t="str">
        <x:v>General / SRA source</x:v>
      </x:c>
    </x:row>
    <x:row r="2">
      <x:c r="A2" s="18" t="str">
        <x:v>Nash &amp; Co Solicitors</x:v>
      </x:c>
      <x:c r="B2" s="18" t="str">
        <x:v>Probate</x:v>
      </x:c>
      <x:c r="C2" s="18" t="str">
        <x:v>Pass</x:v>
      </x:c>
      <x:c r="D2" s="18" t="str">
        <x:v>Review</x:v>
      </x:c>
      <x:c r="E2" s="18" t="str">
        <x:v>Pass</x:v>
      </x:c>
      <x:c r="F2" s="18" t="str">
        <x:v>Pass</x:v>
      </x:c>
      <x:c r="G2" s="18" t="str">
        <x:v>Review</x:v>
      </x:c>
      <x:c r="H2" s="18" t="str">
        <x:v>Pass</x:v>
      </x:c>
      <x:c r="I2" s="18" t="str">
        <x:v>Pass</x:v>
      </x:c>
      <x:c r="J2" s="18" t="str">
        <x:v>Review</x:v>
      </x:c>
      <x:c r="K2" s="18" t="str">
        <x:v>Review</x:v>
      </x:c>
      <x:c r="L2" s="18" t="str">
        <x:v>Pass</x:v>
      </x:c>
      <x:c r="M2" s="18" t="str">
        <x:v>Pass</x:v>
      </x:c>
      <x:c r="N2" s="18" t="str">
        <x:v>Review</x:v>
      </x:c>
      <x:c r="O2" s="18" t="str">
        <x:v>Pass</x:v>
      </x:c>
      <x:c r="P2" s="18" t="str">
        <x:v>Pass</x:v>
      </x:c>
      <x:c r="Q2" s="18" t="str">
        <x:v>Review</x:v>
      </x:c>
      <x:c r="R2" s="18" t="str">
        <x:v>Review</x:v>
      </x:c>
      <x:c r="S2" s="18" t="str">
        <x:v>Pass</x:v>
      </x:c>
      <x:c r="T2" s="18" t="str">
        <x:v>High</x:v>
      </x:c>
      <x:c r="U2" s="18" t="str">
        <x:v>Good control</x:v>
      </x:c>
      <x:c r="V2" s="18" t="str">
        <x:v>Pricing and VAT are explicit; staff/stage detail needs full-page semantic review.</x:v>
      </x:c>
      <x:c r="W2" s="18" t="str">
        <x:v>https://nash.co.uk/personal/wills-trusts-tax-probate/probate-pricing-structure</x:v>
      </x:c>
      <x:c r="X2" s="18" t="str">
        <x:v>https://nash.co.uk/legal-notices/complaints-procedure</x:v>
      </x:c>
      <x:c r="Y2" s="18" t="str"/>
    </x:row>
    <x:row r="3">
      <x:c r="A3" s="18" t="str">
        <x:v>Thompson &amp; Jackson</x:v>
      </x:c>
      <x:c r="B3" s="18" t="str">
        <x:v>Probate / Conveyancing</x:v>
      </x:c>
      <x:c r="C3" s="18" t="str">
        <x:v>Review</x:v>
      </x:c>
      <x:c r="D3" s="18" t="str">
        <x:v>Review</x:v>
      </x:c>
      <x:c r="E3" s="18" t="str">
        <x:v>Review</x:v>
      </x:c>
      <x:c r="F3" s="18" t="str">
        <x:v>Review</x:v>
      </x:c>
      <x:c r="G3" s="18" t="str">
        <x:v>Review</x:v>
      </x:c>
      <x:c r="H3" s="18" t="str">
        <x:v>Pass</x:v>
      </x:c>
      <x:c r="I3" s="18" t="str">
        <x:v>Pass</x:v>
      </x:c>
      <x:c r="J3" s="18" t="str">
        <x:v>Pass</x:v>
      </x:c>
      <x:c r="K3" s="18" t="str">
        <x:v>Review</x:v>
      </x:c>
      <x:c r="L3" s="18" t="str">
        <x:v>Pass</x:v>
      </x:c>
      <x:c r="M3" s="18" t="str">
        <x:v>Pass</x:v>
      </x:c>
      <x:c r="N3" s="18" t="str">
        <x:v>Review</x:v>
      </x:c>
      <x:c r="O3" s="18" t="str">
        <x:v>Pass</x:v>
      </x:c>
      <x:c r="P3" s="18" t="str">
        <x:v>Review</x:v>
      </x:c>
      <x:c r="Q3" s="18" t="str">
        <x:v>Pass</x:v>
      </x:c>
      <x:c r="R3" s="18" t="str">
        <x:v>Pass</x:v>
      </x:c>
      <x:c r="S3" s="18" t="str">
        <x:v>Pass</x:v>
      </x:c>
      <x:c r="T3" s="18" t="str">
        <x:v>Medium</x:v>
      </x:c>
      <x:c r="U3" s="18" t="str">
        <x:v>Document-heavy</x:v>
      </x:c>
      <x:c r="V3" s="18" t="str">
        <x:v>Pricing hub points to downloadable information; useful test of document discovery.</x:v>
      </x:c>
      <x:c r="W3" s="18" t="str">
        <x:v>https://www.thompsonandjackson.co.uk/pricing</x:v>
      </x:c>
      <x:c r="X3" s="18" t="str"/>
      <x:c r="Y3" s="18" t="str"/>
    </x:row>
    <x:row r="4">
      <x:c r="A4" s="18" t="str">
        <x:v>Barcan+Kirby</x:v>
      </x:c>
      <x:c r="B4" s="18" t="str">
        <x:v>Probate</x:v>
      </x:c>
      <x:c r="C4" s="18" t="str">
        <x:v>Review</x:v>
      </x:c>
      <x:c r="D4" s="18" t="str">
        <x:v>Review</x:v>
      </x:c>
      <x:c r="E4" s="18" t="str">
        <x:v>Pass</x:v>
      </x:c>
      <x:c r="F4" s="18" t="str">
        <x:v>Pass</x:v>
      </x:c>
      <x:c r="G4" s="18" t="str">
        <x:v>Pass</x:v>
      </x:c>
      <x:c r="H4" s="18" t="str">
        <x:v>Pass</x:v>
      </x:c>
      <x:c r="I4" s="18" t="str">
        <x:v>Pass</x:v>
      </x:c>
      <x:c r="J4" s="18" t="str">
        <x:v>Pass</x:v>
      </x:c>
      <x:c r="K4" s="18" t="str">
        <x:v>Review</x:v>
      </x:c>
      <x:c r="L4" s="18" t="str">
        <x:v>Pass</x:v>
      </x:c>
      <x:c r="M4" s="18" t="str">
        <x:v>Pass</x:v>
      </x:c>
      <x:c r="N4" s="18" t="str">
        <x:v>Pass</x:v>
      </x:c>
      <x:c r="O4" s="18" t="str">
        <x:v>Pass</x:v>
      </x:c>
      <x:c r="P4" s="18" t="str">
        <x:v>Pass</x:v>
      </x:c>
      <x:c r="Q4" s="18" t="str">
        <x:v>Pass</x:v>
      </x:c>
      <x:c r="R4" s="18" t="str">
        <x:v>Review</x:v>
      </x:c>
      <x:c r="S4" s="18" t="str">
        <x:v>Pass</x:v>
      </x:c>
      <x:c r="T4" s="18" t="str">
        <x:v>High</x:v>
      </x:c>
      <x:c r="U4" s="18" t="str">
        <x:v>Good control</x:v>
      </x:c>
      <x:c r="V4" s="18" t="str">
        <x:v>Detailed probate page has fees, VAT, disbursements, inclusions and staff information.</x:v>
      </x:c>
      <x:c r="W4" s="18" t="str">
        <x:v>https://barcankirby.co.uk/legal-services/for-you-and-your-family/probate-estate-administration/pricing-staff-information-for-probate/</x:v>
      </x:c>
      <x:c r="X4" s="18" t="str">
        <x:v>https://barcankirby.co.uk/help/complaints/</x:v>
      </x:c>
      <x:c r="Y4" s="18" t="str"/>
    </x:row>
    <x:row r="5">
      <x:c r="A5" s="18" t="str">
        <x:v>Tozers</x:v>
      </x:c>
      <x:c r="B5" s="18" t="str">
        <x:v>Residential conveyancing</x:v>
      </x:c>
      <x:c r="C5" s="18" t="str">
        <x:v>Review</x:v>
      </x:c>
      <x:c r="D5" s="18" t="str">
        <x:v>Review</x:v>
      </x:c>
      <x:c r="E5" s="18" t="str">
        <x:v>Pass</x:v>
      </x:c>
      <x:c r="F5" s="18" t="str">
        <x:v>Pass</x:v>
      </x:c>
      <x:c r="G5" s="18" t="str">
        <x:v>Review</x:v>
      </x:c>
      <x:c r="H5" s="18" t="str">
        <x:v>Pass</x:v>
      </x:c>
      <x:c r="I5" s="18" t="str">
        <x:v>Pass</x:v>
      </x:c>
      <x:c r="J5" s="18" t="str">
        <x:v>Review</x:v>
      </x:c>
      <x:c r="K5" s="18" t="str">
        <x:v>Review</x:v>
      </x:c>
      <x:c r="L5" s="18" t="str">
        <x:v>Pass</x:v>
      </x:c>
      <x:c r="M5" s="18" t="str">
        <x:v>Pass</x:v>
      </x:c>
      <x:c r="N5" s="18" t="str">
        <x:v>Pass</x:v>
      </x:c>
      <x:c r="O5" s="18" t="str">
        <x:v>Pass</x:v>
      </x:c>
      <x:c r="P5" s="18" t="str">
        <x:v>Pass</x:v>
      </x:c>
      <x:c r="Q5" s="18" t="str">
        <x:v>Review</x:v>
      </x:c>
      <x:c r="R5" s="18" t="str">
        <x:v>Review</x:v>
      </x:c>
      <x:c r="S5" s="18" t="str">
        <x:v>Pass</x:v>
      </x:c>
      <x:c r="T5" s="18" t="str">
        <x:v>High</x:v>
      </x:c>
      <x:c r="U5" s="18" t="str">
        <x:v>Good control</x:v>
      </x:c>
      <x:c r="V5" s="18" t="str">
        <x:v>Strong central charges/fees hub; good positive control for static HTML pricing.</x:v>
      </x:c>
      <x:c r="W5" s="18" t="str">
        <x:v>https://www.tozers.co.uk/about/charges-fees/price-and-stage-information/</x:v>
      </x:c>
      <x:c r="X5" s="18" t="str">
        <x:v>https://www.tozers.co.uk/help/complaints/</x:v>
      </x:c>
      <x:c r="Y5" s="18" t="str"/>
    </x:row>
    <x:row r="6">
      <x:c r="A6" s="18" t="str">
        <x:v>Hethertons</x:v>
      </x:c>
      <x:c r="B6" s="18" t="str">
        <x:v>Residential conveyancing</x:v>
      </x:c>
      <x:c r="C6" s="18" t="str">
        <x:v>Pass</x:v>
      </x:c>
      <x:c r="D6" s="18" t="str">
        <x:v>Review</x:v>
      </x:c>
      <x:c r="E6" s="18" t="str">
        <x:v>Review</x:v>
      </x:c>
      <x:c r="F6" s="18" t="str">
        <x:v>Review</x:v>
      </x:c>
      <x:c r="G6" s="18" t="str">
        <x:v>Review</x:v>
      </x:c>
      <x:c r="H6" s="18" t="str">
        <x:v>Pass</x:v>
      </x:c>
      <x:c r="I6" s="18" t="str">
        <x:v>Pass</x:v>
      </x:c>
      <x:c r="J6" s="18" t="str">
        <x:v>Pass</x:v>
      </x:c>
      <x:c r="K6" s="18" t="str">
        <x:v>Pass</x:v>
      </x:c>
      <x:c r="L6" s="18" t="str">
        <x:v>Pass</x:v>
      </x:c>
      <x:c r="M6" s="18" t="str">
        <x:v>Pass</x:v>
      </x:c>
      <x:c r="N6" s="18" t="str">
        <x:v>Pass</x:v>
      </x:c>
      <x:c r="O6" s="18" t="str">
        <x:v>Pass</x:v>
      </x:c>
      <x:c r="P6" s="18" t="str">
        <x:v>Review</x:v>
      </x:c>
      <x:c r="Q6" s="18" t="str">
        <x:v>Pass</x:v>
      </x:c>
      <x:c r="R6" s="18" t="str">
        <x:v>Pass</x:v>
      </x:c>
      <x:c r="S6" s="18" t="str">
        <x:v>Pass</x:v>
      </x:c>
      <x:c r="T6" s="18" t="str">
        <x:v>High</x:v>
      </x:c>
      <x:c r="U6" s="18" t="str">
        <x:v>Good control</x:v>
      </x:c>
      <x:c r="V6" s="18" t="str">
        <x:v>Highly structured SRA-style pricing table with staff/supervision, fees and timescales.</x:v>
      </x:c>
      <x:c r="W6" s="18" t="str">
        <x:v>https://www.hethertons.co.uk/pricing-residential-property/</x:v>
      </x:c>
      <x:c r="X6" s="18" t="str"/>
      <x:c r="Y6" s="18" t="str"/>
    </x:row>
    <x:row r="7">
      <x:c r="A7" s="18" t="str">
        <x:v>Ware &amp; Kay</x:v>
      </x:c>
      <x:c r="B7" s="18" t="str">
        <x:v>Probate / Conveyancing</x:v>
      </x:c>
      <x:c r="C7" s="18" t="str">
        <x:v>Pass</x:v>
      </x:c>
      <x:c r="D7" s="18" t="str">
        <x:v>Review</x:v>
      </x:c>
      <x:c r="E7" s="18" t="str">
        <x:v>Pass</x:v>
      </x:c>
      <x:c r="F7" s="18" t="str">
        <x:v>Review</x:v>
      </x:c>
      <x:c r="G7" s="18" t="str">
        <x:v>Review</x:v>
      </x:c>
      <x:c r="H7" s="18" t="str">
        <x:v>Pass</x:v>
      </x:c>
      <x:c r="I7" s="18" t="str">
        <x:v>Pass</x:v>
      </x:c>
      <x:c r="J7" s="18" t="str">
        <x:v>Review</x:v>
      </x:c>
      <x:c r="K7" s="18" t="str">
        <x:v>Review</x:v>
      </x:c>
      <x:c r="L7" s="18" t="str">
        <x:v>Review</x:v>
      </x:c>
      <x:c r="M7" s="18" t="str">
        <x:v>Review</x:v>
      </x:c>
      <x:c r="N7" s="18" t="str">
        <x:v>Review</x:v>
      </x:c>
      <x:c r="O7" s="18" t="str">
        <x:v>Review</x:v>
      </x:c>
      <x:c r="P7" s="18" t="str">
        <x:v>Review</x:v>
      </x:c>
      <x:c r="Q7" s="18" t="str">
        <x:v>Pass</x:v>
      </x:c>
      <x:c r="R7" s="18" t="str">
        <x:v>Pass</x:v>
      </x:c>
      <x:c r="S7" s="18" t="str">
        <x:v>Pass</x:v>
      </x:c>
      <x:c r="T7" s="18" t="str">
        <x:v>Medium</x:v>
      </x:c>
      <x:c r="U7" s="18" t="str">
        <x:v>Hub architecture</x:v>
      </x:c>
      <x:c r="V7" s="18" t="str">
        <x:v>Transparency hub points to stages, timescales and adviser information.</x:v>
      </x:c>
      <x:c r="W7" s="18" t="str">
        <x:v>https://www.warekay.co.uk/costs-transparency</x:v>
      </x:c>
      <x:c r="X7" s="18" t="str">
        <x:v>https://www.warekay.co.uk/complaints/</x:v>
      </x:c>
      <x:c r="Y7" s="18" t="str"/>
    </x:row>
    <x:row r="8">
      <x:c r="A8" s="18" t="str">
        <x:v>Harrowells</x:v>
      </x:c>
      <x:c r="B8" s="18" t="str">
        <x:v>Probate / Conveyancing</x:v>
      </x:c>
      <x:c r="C8" s="18" t="str">
        <x:v>Review</x:v>
      </x:c>
      <x:c r="D8" s="18" t="str">
        <x:v>Review</x:v>
      </x:c>
      <x:c r="E8" s="18" t="str">
        <x:v>Review</x:v>
      </x:c>
      <x:c r="F8" s="18" t="str">
        <x:v>Review</x:v>
      </x:c>
      <x:c r="G8" s="18" t="str">
        <x:v>Review</x:v>
      </x:c>
      <x:c r="H8" s="18" t="str">
        <x:v>Pass</x:v>
      </x:c>
      <x:c r="I8" s="18" t="str">
        <x:v>Pass</x:v>
      </x:c>
      <x:c r="J8" s="18" t="str">
        <x:v>Pass</x:v>
      </x:c>
      <x:c r="K8" s="18" t="str">
        <x:v>Pass</x:v>
      </x:c>
      <x:c r="L8" s="18" t="str">
        <x:v>Review</x:v>
      </x:c>
      <x:c r="M8" s="18" t="str">
        <x:v>Review</x:v>
      </x:c>
      <x:c r="N8" s="18" t="str">
        <x:v>Review</x:v>
      </x:c>
      <x:c r="O8" s="18" t="str">
        <x:v>Review</x:v>
      </x:c>
      <x:c r="P8" s="18" t="str">
        <x:v>Review</x:v>
      </x:c>
      <x:c r="Q8" s="18" t="str">
        <x:v>Pass</x:v>
      </x:c>
      <x:c r="R8" s="18" t="str">
        <x:v>Pass</x:v>
      </x:c>
      <x:c r="S8" s="18" t="str">
        <x:v>Pass</x:v>
      </x:c>
      <x:c r="T8" s="18" t="str">
        <x:v>Medium</x:v>
      </x:c>
      <x:c r="U8" s="18" t="str">
        <x:v>Hub architecture</x:v>
      </x:c>
      <x:c r="V8" s="18" t="str">
        <x:v>Pricing hub explicitly covers costs, key stages, timescales and adviser experience.</x:v>
      </x:c>
      <x:c r="W8" s="18" t="str">
        <x:v>https://www.harrowells.co.uk/site/pricing/</x:v>
      </x:c>
      <x:c r="X8" s="18" t="str"/>
      <x:c r="Y8" s="18" t="str"/>
    </x:row>
    <x:row r="9">
      <x:c r="A9" s="18" t="str">
        <x:v>Dean Wilson LLP</x:v>
      </x:c>
      <x:c r="B9" s="18" t="str">
        <x:v>Probate / Employment</x:v>
      </x:c>
      <x:c r="C9" s="18" t="str">
        <x:v>Pass</x:v>
      </x:c>
      <x:c r="D9" s="18" t="str">
        <x:v>Review</x:v>
      </x:c>
      <x:c r="E9" s="18" t="str">
        <x:v>Review</x:v>
      </x:c>
      <x:c r="F9" s="18" t="str">
        <x:v>Review</x:v>
      </x:c>
      <x:c r="G9" s="18" t="str">
        <x:v>Review</x:v>
      </x:c>
      <x:c r="H9" s="18" t="str">
        <x:v>Pass</x:v>
      </x:c>
      <x:c r="I9" s="18" t="str">
        <x:v>Pass</x:v>
      </x:c>
      <x:c r="J9" s="18" t="str">
        <x:v>Pass</x:v>
      </x:c>
      <x:c r="K9" s="18" t="str">
        <x:v>Review</x:v>
      </x:c>
      <x:c r="L9" s="18" t="str">
        <x:v>Pass</x:v>
      </x:c>
      <x:c r="M9" s="18" t="str">
        <x:v>Pass</x:v>
      </x:c>
      <x:c r="N9" s="18" t="str">
        <x:v>Review</x:v>
      </x:c>
      <x:c r="O9" s="18" t="str">
        <x:v>Pass</x:v>
      </x:c>
      <x:c r="P9" s="18" t="str">
        <x:v>Review</x:v>
      </x:c>
      <x:c r="Q9" s="18" t="str">
        <x:v>Pass</x:v>
      </x:c>
      <x:c r="R9" s="18" t="str">
        <x:v>Pass</x:v>
      </x:c>
      <x:c r="S9" s="18" t="str">
        <x:v>Pass</x:v>
      </x:c>
      <x:c r="T9" s="18" t="str">
        <x:v>Medium</x:v>
      </x:c>
      <x:c r="U9" s="18" t="str">
        <x:v>Good control</x:v>
      </x:c>
      <x:c r="V9" s="18" t="str">
        <x:v>Strong pricing hub; footer/contact confirms SRA number.</x:v>
      </x:c>
      <x:c r="W9" s="18" t="str">
        <x:v>https://deanwilson.co.uk/pricing-information</x:v>
      </x:c>
      <x:c r="X9" s="18" t="str">
        <x:v>https://deanwilson.co.uk/contact</x:v>
      </x:c>
      <x:c r="Y9" s="18" t="str"/>
    </x:row>
    <x:row r="10">
      <x:c r="A10" s="18" t="str">
        <x:v>Fieldings Porter</x:v>
      </x:c>
      <x:c r="B10" s="18" t="str">
        <x:v>Probate / Conveyancing</x:v>
      </x:c>
      <x:c r="C10" s="18" t="str">
        <x:v>Review</x:v>
      </x:c>
      <x:c r="D10" s="18" t="str">
        <x:v>Review</x:v>
      </x:c>
      <x:c r="E10" s="18" t="str">
        <x:v>Pass</x:v>
      </x:c>
      <x:c r="F10" s="18" t="str">
        <x:v>Pass</x:v>
      </x:c>
      <x:c r="G10" s="18" t="str">
        <x:v>Pass</x:v>
      </x:c>
      <x:c r="H10" s="18" t="str">
        <x:v>Pass</x:v>
      </x:c>
      <x:c r="I10" s="18" t="str">
        <x:v>Pass</x:v>
      </x:c>
      <x:c r="J10" s="18" t="str">
        <x:v>Review</x:v>
      </x:c>
      <x:c r="K10" s="18" t="str">
        <x:v>Review</x:v>
      </x:c>
      <x:c r="L10" s="18" t="str">
        <x:v>Pass</x:v>
      </x:c>
      <x:c r="M10" s="18" t="str">
        <x:v>Pass</x:v>
      </x:c>
      <x:c r="N10" s="18" t="str">
        <x:v>Review</x:v>
      </x:c>
      <x:c r="O10" s="18" t="str">
        <x:v>Pass</x:v>
      </x:c>
      <x:c r="P10" s="18" t="str">
        <x:v>Pass</x:v>
      </x:c>
      <x:c r="Q10" s="18" t="str">
        <x:v>Review</x:v>
      </x:c>
      <x:c r="R10" s="18" t="str">
        <x:v>Review</x:v>
      </x:c>
      <x:c r="S10" s="18" t="str">
        <x:v>Pass</x:v>
      </x:c>
      <x:c r="T10" s="18" t="str">
        <x:v>High</x:v>
      </x:c>
      <x:c r="U10" s="18" t="str">
        <x:v>Calculator + static</x:v>
      </x:c>
      <x:c r="V10" s="18" t="str">
        <x:v>Good mixed case: static probate pricing plus conveyancing quote route.</x:v>
      </x:c>
      <x:c r="W10" s="18" t="str">
        <x:v>https://www.fieldingsporter.co.uk/site/pricing/probate-pricing/</x:v>
      </x:c>
      <x:c r="X10" s="18" t="str">
        <x:v>https://www.fieldingsporter.co.uk/site/help/complaints/</x:v>
      </x:c>
      <x:c r="Y10" s="18" t="str"/>
    </x:row>
    <x:row r="11">
      <x:c r="A11" s="18" t="str">
        <x:v>Winston Solicitors</x:v>
      </x:c>
      <x:c r="B11" s="18" t="str">
        <x:v>Probate</x:v>
      </x:c>
      <x:c r="C11" s="18" t="str">
        <x:v>Review</x:v>
      </x:c>
      <x:c r="D11" s="18" t="str">
        <x:v>Review</x:v>
      </x:c>
      <x:c r="E11" s="18" t="str">
        <x:v>Pass</x:v>
      </x:c>
      <x:c r="F11" s="18" t="str">
        <x:v>Review</x:v>
      </x:c>
      <x:c r="G11" s="18" t="str">
        <x:v>Review</x:v>
      </x:c>
      <x:c r="H11" s="18" t="str">
        <x:v>Pass</x:v>
      </x:c>
      <x:c r="I11" s="18" t="str">
        <x:v>Pass</x:v>
      </x:c>
      <x:c r="J11" s="18" t="str">
        <x:v>Review</x:v>
      </x:c>
      <x:c r="K11" s="18" t="str">
        <x:v>Review</x:v>
      </x:c>
      <x:c r="L11" s="18" t="str">
        <x:v>Pass</x:v>
      </x:c>
      <x:c r="M11" s="18" t="str">
        <x:v>Pass</x:v>
      </x:c>
      <x:c r="N11" s="18" t="str">
        <x:v>Review</x:v>
      </x:c>
      <x:c r="O11" s="18" t="str">
        <x:v>Pass</x:v>
      </x:c>
      <x:c r="P11" s="18" t="str">
        <x:v>Review</x:v>
      </x:c>
      <x:c r="Q11" s="18" t="str">
        <x:v>Review</x:v>
      </x:c>
      <x:c r="R11" s="18" t="str">
        <x:v>Pass</x:v>
      </x:c>
      <x:c r="S11" s="18" t="str">
        <x:v>Pass</x:v>
      </x:c>
      <x:c r="T11" s="18" t="str">
        <x:v>Medium</x:v>
      </x:c>
      <x:c r="U11" s="18" t="str">
        <x:v>Good control</x:v>
      </x:c>
      <x:c r="V11" s="18" t="str">
        <x:v>Detailed probate pricing and disbursements; complaints page easy to locate.</x:v>
      </x:c>
      <x:c r="W11" s="18" t="str">
        <x:v>https://www.winstonsolicitors.co.uk/wills-trusts-probate/will-lpa-trust-probate-pricing</x:v>
      </x:c>
      <x:c r="X11" s="18" t="str">
        <x:v>https://www.winstonsolicitors.co.uk/complaints</x:v>
      </x:c>
      <x:c r="Y11" s="18" t="str"/>
    </x:row>
    <x:row r="12">
      <x:c r="A12" s="18" t="str">
        <x:v>Tilly Bailey &amp; Irvine</x:v>
      </x:c>
      <x:c r="B12" s="18" t="str">
        <x:v>Employment / Debt / Conveyancing</x:v>
      </x:c>
      <x:c r="C12" s="18" t="str">
        <x:v>Review</x:v>
      </x:c>
      <x:c r="D12" s="18" t="str">
        <x:v>Review</x:v>
      </x:c>
      <x:c r="E12" s="18" t="str">
        <x:v>Pass</x:v>
      </x:c>
      <x:c r="F12" s="18" t="str">
        <x:v>Review</x:v>
      </x:c>
      <x:c r="G12" s="18" t="str">
        <x:v>Review</x:v>
      </x:c>
      <x:c r="H12" s="18" t="str">
        <x:v>Pass</x:v>
      </x:c>
      <x:c r="I12" s="18" t="str">
        <x:v>Pass</x:v>
      </x:c>
      <x:c r="J12" s="18" t="str">
        <x:v>Review</x:v>
      </x:c>
      <x:c r="K12" s="18" t="str">
        <x:v>Review</x:v>
      </x:c>
      <x:c r="L12" s="18" t="str">
        <x:v>Pass</x:v>
      </x:c>
      <x:c r="M12" s="18" t="str">
        <x:v>Pass</x:v>
      </x:c>
      <x:c r="N12" s="18" t="str">
        <x:v>Review</x:v>
      </x:c>
      <x:c r="O12" s="18" t="str">
        <x:v>Pass</x:v>
      </x:c>
      <x:c r="P12" s="18" t="str">
        <x:v>Review</x:v>
      </x:c>
      <x:c r="Q12" s="18" t="str">
        <x:v>Pass</x:v>
      </x:c>
      <x:c r="R12" s="18" t="str">
        <x:v>Pass</x:v>
      </x:c>
      <x:c r="S12" s="18" t="str">
        <x:v>Pass</x:v>
      </x:c>
      <x:c r="T12" s="18" t="str">
        <x:v>Medium</x:v>
      </x:c>
      <x:c r="U12" s="18" t="str">
        <x:v>Multi-service stress test</x:v>
      </x:c>
      <x:c r="V12" s="18" t="str">
        <x:v>Many applicable service pages make this useful for service classification.</x:v>
      </x:c>
      <x:c r="W12" s="18" t="str">
        <x:v>https://www.tbilaw.co.uk/pricing/</x:v>
      </x:c>
      <x:c r="X12" s="18" t="str">
        <x:v>https://www.tbilaw.co.uk/complaints-procedure/</x:v>
      </x:c>
      <x:c r="Y12" s="18" t="str"/>
    </x:row>
    <x:row r="13">
      <x:c r="A13" s="18" t="str">
        <x:v>Kitson Boyce</x:v>
      </x:c>
      <x:c r="B13" s="18" t="str">
        <x:v>Probate / Employment</x:v>
      </x:c>
      <x:c r="C13" s="18" t="str">
        <x:v>Review</x:v>
      </x:c>
      <x:c r="D13" s="18" t="str">
        <x:v>Review</x:v>
      </x:c>
      <x:c r="E13" s="18" t="str">
        <x:v>Pass</x:v>
      </x:c>
      <x:c r="F13" s="18" t="str">
        <x:v>Review</x:v>
      </x:c>
      <x:c r="G13" s="18" t="str">
        <x:v>Review</x:v>
      </x:c>
      <x:c r="H13" s="18" t="str">
        <x:v>Pass</x:v>
      </x:c>
      <x:c r="I13" s="18" t="str">
        <x:v>Pass</x:v>
      </x:c>
      <x:c r="J13" s="18" t="str">
        <x:v>Pass</x:v>
      </x:c>
      <x:c r="K13" s="18" t="str">
        <x:v>Review</x:v>
      </x:c>
      <x:c r="L13" s="18" t="str">
        <x:v>Pass</x:v>
      </x:c>
      <x:c r="M13" s="18" t="str">
        <x:v>Pass</x:v>
      </x:c>
      <x:c r="N13" s="18" t="str">
        <x:v>Review</x:v>
      </x:c>
      <x:c r="O13" s="18" t="str">
        <x:v>Pass</x:v>
      </x:c>
      <x:c r="P13" s="18" t="str">
        <x:v>Review</x:v>
      </x:c>
      <x:c r="Q13" s="18" t="str">
        <x:v>Review</x:v>
      </x:c>
      <x:c r="R13" s="18" t="str">
        <x:v>Review</x:v>
      </x:c>
      <x:c r="S13" s="18" t="str">
        <x:v>Pass</x:v>
      </x:c>
      <x:c r="T13" s="18" t="str">
        <x:v>Medium</x:v>
      </x:c>
      <x:c r="U13" s="18" t="str">
        <x:v>Good control</x:v>
      </x:c>
      <x:c r="V13" s="18" t="str">
        <x:v>Strong service-specific pricing; employment pages include role/rate detail.</x:v>
      </x:c>
      <x:c r="W13" s="18" t="str">
        <x:v>https://www.kitsonboyce.co.uk/pricing/</x:v>
      </x:c>
      <x:c r="X13" s="18" t="str">
        <x:v>https://www.kitsonboyce.co.uk/complaints/</x:v>
      </x:c>
      <x:c r="Y13" s="18" t="str"/>
    </x:row>
    <x:row r="14">
      <x:c r="A14" s="18" t="str">
        <x:v>Rothera Bray</x:v>
      </x:c>
      <x:c r="B14" s="18" t="str">
        <x:v>Conveyancing / Employment</x:v>
      </x:c>
      <x:c r="C14" s="18" t="str">
        <x:v>Review</x:v>
      </x:c>
      <x:c r="D14" s="18" t="str">
        <x:v>Review</x:v>
      </x:c>
      <x:c r="E14" s="18" t="str">
        <x:v>Pass</x:v>
      </x:c>
      <x:c r="F14" s="18" t="str">
        <x:v>Pass</x:v>
      </x:c>
      <x:c r="G14" s="18" t="str">
        <x:v>Pass</x:v>
      </x:c>
      <x:c r="H14" s="18" t="str">
        <x:v>Pass</x:v>
      </x:c>
      <x:c r="I14" s="18" t="str">
        <x:v>Pass</x:v>
      </x:c>
      <x:c r="J14" s="18" t="str">
        <x:v>Review</x:v>
      </x:c>
      <x:c r="K14" s="18" t="str">
        <x:v>Review</x:v>
      </x:c>
      <x:c r="L14" s="18" t="str">
        <x:v>Pass</x:v>
      </x:c>
      <x:c r="M14" s="18" t="str">
        <x:v>Pass</x:v>
      </x:c>
      <x:c r="N14" s="18" t="str">
        <x:v>Review</x:v>
      </x:c>
      <x:c r="O14" s="18" t="str">
        <x:v>Pass</x:v>
      </x:c>
      <x:c r="P14" s="18" t="str">
        <x:v>Pass</x:v>
      </x:c>
      <x:c r="Q14" s="18" t="str">
        <x:v>Review</x:v>
      </x:c>
      <x:c r="R14" s="18" t="str">
        <x:v>Review</x:v>
      </x:c>
      <x:c r="S14" s="18" t="str">
        <x:v>Pass</x:v>
      </x:c>
      <x:c r="T14" s="18" t="str">
        <x:v>High</x:v>
      </x:c>
      <x:c r="U14" s="18" t="str">
        <x:v>Good control</x:v>
      </x:c>
      <x:c r="V14" s="18" t="str">
        <x:v>Complaints page contains Legal Ombudsman and SRA routes.</x:v>
      </x:c>
      <x:c r="W14" s="18" t="str">
        <x:v>https://rotherabray.co.uk/conveyancing-solicitors/freehold-sale-or-purchase-fees/</x:v>
      </x:c>
      <x:c r="X14" s="18" t="str">
        <x:v>https://rotherabray.co.uk/legal/complaints-procedure/</x:v>
      </x:c>
      <x:c r="Y14" s="18" t="str"/>
    </x:row>
    <x:row r="15">
      <x:c r="A15" s="18" t="str">
        <x:v>Mayo Wynne Baxter</x:v>
      </x:c>
      <x:c r="B15" s="18" t="str">
        <x:v>Conveyancing / Employment</x:v>
      </x:c>
      <x:c r="C15" s="18" t="str">
        <x:v>Review</x:v>
      </x:c>
      <x:c r="D15" s="18" t="str">
        <x:v>Review</x:v>
      </x:c>
      <x:c r="E15" s="18" t="str">
        <x:v>Pass</x:v>
      </x:c>
      <x:c r="F15" s="18" t="str">
        <x:v>Pass</x:v>
      </x:c>
      <x:c r="G15" s="18" t="str">
        <x:v>Pass</x:v>
      </x:c>
      <x:c r="H15" s="18" t="str">
        <x:v>Pass</x:v>
      </x:c>
      <x:c r="I15" s="18" t="str">
        <x:v>Pass</x:v>
      </x:c>
      <x:c r="J15" s="18" t="str">
        <x:v>Review</x:v>
      </x:c>
      <x:c r="K15" s="18" t="str">
        <x:v>Review</x:v>
      </x:c>
      <x:c r="L15" s="18" t="str">
        <x:v>Pass</x:v>
      </x:c>
      <x:c r="M15" s="18" t="str">
        <x:v>Pass</x:v>
      </x:c>
      <x:c r="N15" s="18" t="str">
        <x:v>Review</x:v>
      </x:c>
      <x:c r="O15" s="18" t="str">
        <x:v>Pass</x:v>
      </x:c>
      <x:c r="P15" s="18" t="str">
        <x:v>Pass</x:v>
      </x:c>
      <x:c r="Q15" s="18" t="str">
        <x:v>Review</x:v>
      </x:c>
      <x:c r="R15" s="18" t="str">
        <x:v>Review</x:v>
      </x:c>
      <x:c r="S15" s="18" t="str">
        <x:v>Pass</x:v>
      </x:c>
      <x:c r="T15" s="18" t="str">
        <x:v>High</x:v>
      </x:c>
      <x:c r="U15" s="18" t="str">
        <x:v>Semantic extraction</x:v>
      </x:c>
      <x:c r="V15" s="18" t="str">
        <x:v>Long all-in-one pricing page is a good semantic extraction benchmark.</x:v>
      </x:c>
      <x:c r="W15" s="18" t="str">
        <x:v>https://www.mayowynnebaxter.co.uk/about-us/pricing/</x:v>
      </x:c>
      <x:c r="X15" s="18" t="str">
        <x:v>https://www.mayowynnebaxter.co.uk/complaints/</x:v>
      </x:c>
      <x:c r="Y15" s="18" t="str"/>
    </x:row>
    <x:row r="16">
      <x:c r="A16" s="18" t="str">
        <x:v>Stephens Scown</x:v>
      </x:c>
      <x:c r="B16" s="18" t="str">
        <x:v>Probate / Conveyancing / Employment</x:v>
      </x:c>
      <x:c r="C16" s="18" t="str">
        <x:v>Review</x:v>
      </x:c>
      <x:c r="D16" s="18" t="str">
        <x:v>Review</x:v>
      </x:c>
      <x:c r="E16" s="18" t="str">
        <x:v>Pass</x:v>
      </x:c>
      <x:c r="F16" s="18" t="str">
        <x:v>Review</x:v>
      </x:c>
      <x:c r="G16" s="18" t="str">
        <x:v>Review</x:v>
      </x:c>
      <x:c r="H16" s="18" t="str">
        <x:v>Pass</x:v>
      </x:c>
      <x:c r="I16" s="18" t="str">
        <x:v>Pass</x:v>
      </x:c>
      <x:c r="J16" s="18" t="str">
        <x:v>Review</x:v>
      </x:c>
      <x:c r="K16" s="18" t="str">
        <x:v>Review</x:v>
      </x:c>
      <x:c r="L16" s="18" t="str">
        <x:v>Review</x:v>
      </x:c>
      <x:c r="M16" s="18" t="str">
        <x:v>Pass</x:v>
      </x:c>
      <x:c r="N16" s="18" t="str">
        <x:v>Review</x:v>
      </x:c>
      <x:c r="O16" s="18" t="str">
        <x:v>Pass</x:v>
      </x:c>
      <x:c r="P16" s="18" t="str">
        <x:v>Pass</x:v>
      </x:c>
      <x:c r="Q16" s="18" t="str">
        <x:v>Pass</x:v>
      </x:c>
      <x:c r="R16" s="18" t="str">
        <x:v>Pass</x:v>
      </x:c>
      <x:c r="S16" s="18" t="str">
        <x:v>Pass</x:v>
      </x:c>
      <x:c r="T16" s="18" t="str">
        <x:v>Medium</x:v>
      </x:c>
      <x:c r="U16" s="18" t="str">
        <x:v>PDF + HTML mix</x:v>
      </x:c>
      <x:c r="V16" s="18" t="str">
        <x:v>Multiple service guides; useful for document discovery and mixed architecture.</x:v>
      </x:c>
      <x:c r="W16" s="18" t="str">
        <x:v>https://www.stephens-scown.co.uk/about-us/pricing/</x:v>
      </x:c>
      <x:c r="X16" s="18" t="str">
        <x:v>https://www.stephens-scown.co.uk/legal-notices/complaints-procedure/</x:v>
      </x:c>
      <x:c r="Y16" s="18" t="str"/>
    </x:row>
    <x:row r="17">
      <x:c r="A17" s="18" t="str">
        <x:v>Wolferstans</x:v>
      </x:c>
      <x:c r="B17" s="18" t="str">
        <x:v>Probate</x:v>
      </x:c>
      <x:c r="C17" s="18" t="str">
        <x:v>Pass</x:v>
      </x:c>
      <x:c r="D17" s="18" t="str">
        <x:v>Review</x:v>
      </x:c>
      <x:c r="E17" s="18" t="str">
        <x:v>Pass</x:v>
      </x:c>
      <x:c r="F17" s="18" t="str">
        <x:v>Review</x:v>
      </x:c>
      <x:c r="G17" s="18" t="str">
        <x:v>Review</x:v>
      </x:c>
      <x:c r="H17" s="18" t="str">
        <x:v>Pass</x:v>
      </x:c>
      <x:c r="I17" s="18" t="str">
        <x:v>Pass</x:v>
      </x:c>
      <x:c r="J17" s="18" t="str">
        <x:v>Pass</x:v>
      </x:c>
      <x:c r="K17" s="18" t="str">
        <x:v>Pass</x:v>
      </x:c>
      <x:c r="L17" s="18" t="str">
        <x:v>Pass</x:v>
      </x:c>
      <x:c r="M17" s="18" t="str">
        <x:v>Pass</x:v>
      </x:c>
      <x:c r="N17" s="18" t="str">
        <x:v>Pass</x:v>
      </x:c>
      <x:c r="O17" s="18" t="str">
        <x:v>Pass</x:v>
      </x:c>
      <x:c r="P17" s="18" t="str">
        <x:v>Pass</x:v>
      </x:c>
      <x:c r="Q17" s="18" t="str">
        <x:v>Pass</x:v>
      </x:c>
      <x:c r="R17" s="18" t="str">
        <x:v>Pass</x:v>
      </x:c>
      <x:c r="S17" s="18" t="str">
        <x:v>Pass</x:v>
      </x:c>
      <x:c r="T17" s="18" t="str">
        <x:v>High</x:v>
      </x:c>
      <x:c r="U17" s="18" t="str">
        <x:v>Strong current control</x:v>
      </x:c>
      <x:c r="V17" s="18" t="str">
        <x:v>Current 2026 probate page gives fee ranges, hourly rates, disbursements, inclusions/exclusions, stages and timescales.</x:v>
      </x:c>
      <x:c r="W17" s="18" t="str">
        <x:v>https://wolferstans.com/wills-probate/full-administration-service/</x:v>
      </x:c>
      <x:c r="X17" s="18" t="str">
        <x:v>https://wolferstans.com/complaints/</x:v>
      </x:c>
      <x:c r="Y17" s="18" t="str">
        <x:v>https://wolferstans.com/</x:v>
      </x:c>
    </x:row>
    <x:row r="18">
      <x:c r="A18" s="18" t="str">
        <x:v>GA Solicitors</x:v>
      </x:c>
      <x:c r="B18" s="18" t="str">
        <x:v>Probate / Conveyancing</x:v>
      </x:c>
      <x:c r="C18" s="18" t="str">
        <x:v>Pass</x:v>
      </x:c>
      <x:c r="D18" s="18" t="str">
        <x:v>Review</x:v>
      </x:c>
      <x:c r="E18" s="18" t="str">
        <x:v>Pass</x:v>
      </x:c>
      <x:c r="F18" s="18" t="str">
        <x:v>Pass</x:v>
      </x:c>
      <x:c r="G18" s="18" t="str">
        <x:v>Review</x:v>
      </x:c>
      <x:c r="H18" s="18" t="str">
        <x:v>Review</x:v>
      </x:c>
      <x:c r="I18" s="18" t="str">
        <x:v>Pass</x:v>
      </x:c>
      <x:c r="J18" s="18" t="str">
        <x:v>Pass</x:v>
      </x:c>
      <x:c r="K18" s="18" t="str">
        <x:v>Review</x:v>
      </x:c>
      <x:c r="L18" s="18" t="str">
        <x:v>Review</x:v>
      </x:c>
      <x:c r="M18" s="18" t="str">
        <x:v>Review</x:v>
      </x:c>
      <x:c r="N18" s="18" t="str">
        <x:v>Review</x:v>
      </x:c>
      <x:c r="O18" s="18" t="str">
        <x:v>Pass</x:v>
      </x:c>
      <x:c r="P18" s="18" t="str">
        <x:v>Pass</x:v>
      </x:c>
      <x:c r="Q18" s="18" t="str">
        <x:v>Review</x:v>
      </x:c>
      <x:c r="R18" s="18" t="str">
        <x:v>Review</x:v>
      </x:c>
      <x:c r="S18" s="18" t="str">
        <x:v>Pass</x:v>
      </x:c>
      <x:c r="T18" s="18" t="str">
        <x:v>Medium</x:v>
      </x:c>
      <x:c r="U18" s="18" t="str">
        <x:v>Quote-led pricing</x:v>
      </x:c>
      <x:c r="V18" s="18" t="str">
        <x:v>Public pages emphasise fixed quotations/online quote rather than full static cost table; useful quote-flow case.</x:v>
      </x:c>
      <x:c r="W18" s="18" t="str">
        <x:v>https://gasolicitors.com/private-law/wills-trusts-probate/winding-up-of-estates-probate/gas-probate-service/</x:v>
      </x:c>
      <x:c r="X18" s="18" t="str">
        <x:v>https://gasolicitors.com/contact-us/feedback/</x:v>
      </x:c>
      <x:c r="Y18" s="18" t="str">
        <x:v>https://gasolicitors.com/</x:v>
      </x:c>
    </x:row>
    <x:row r="19">
      <x:c r="A19" s="18" t="str">
        <x:v>Battrick Clark</x:v>
      </x:c>
      <x:c r="B19" s="18" t="str">
        <x:v>Probate</x:v>
      </x:c>
      <x:c r="C19" s="18" t="str">
        <x:v>Review</x:v>
      </x:c>
      <x:c r="D19" s="18" t="str">
        <x:v>Review</x:v>
      </x:c>
      <x:c r="E19" s="18" t="str">
        <x:v>Pass</x:v>
      </x:c>
      <x:c r="F19" s="18" t="str">
        <x:v>Review</x:v>
      </x:c>
      <x:c r="G19" s="18" t="str">
        <x:v>Review</x:v>
      </x:c>
      <x:c r="H19" s="18" t="str">
        <x:v>Pass</x:v>
      </x:c>
      <x:c r="I19" s="18" t="str">
        <x:v>Pass</x:v>
      </x:c>
      <x:c r="J19" s="18" t="str">
        <x:v>Review</x:v>
      </x:c>
      <x:c r="K19" s="18" t="str">
        <x:v>Review</x:v>
      </x:c>
      <x:c r="L19" s="18" t="str">
        <x:v>Pass</x:v>
      </x:c>
      <x:c r="M19" s="18" t="str">
        <x:v>Pass</x:v>
      </x:c>
      <x:c r="N19" s="18" t="str">
        <x:v>Pass</x:v>
      </x:c>
      <x:c r="O19" s="18" t="str">
        <x:v>Pass</x:v>
      </x:c>
      <x:c r="P19" s="18" t="str">
        <x:v>Pass</x:v>
      </x:c>
      <x:c r="Q19" s="18" t="str">
        <x:v>Review</x:v>
      </x:c>
      <x:c r="R19" s="18" t="str">
        <x:v>Review</x:v>
      </x:c>
      <x:c r="S19" s="18" t="str">
        <x:v>Pass</x:v>
      </x:c>
      <x:c r="T19" s="18" t="str">
        <x:v>High</x:v>
      </x:c>
      <x:c r="U19" s="18" t="str">
        <x:v>Good small-firm control</x:v>
      </x:c>
      <x:c r="V19" s="18" t="str">
        <x:v>Probate page has fee range, hourly rate, VAT, disbursements and assumptions/exclusions.</x:v>
      </x:c>
      <x:c r="W19" s="18" t="str">
        <x:v>https://www.battrickclark.co.uk/wills-probate/probate-fees/</x:v>
      </x:c>
      <x:c r="X19" s="18" t="str">
        <x:v>https://www.battrickclark.co.uk/contact/battrick-clark-complaints-handling-procedure/</x:v>
      </x:c>
      <x:c r="Y19" s="18" t="str"/>
    </x:row>
    <x:row r="20">
      <x:c r="A20" s="18" t="str">
        <x:v>Burt Brill &amp; Cardens</x:v>
      </x:c>
      <x:c r="B20" s="18" t="str">
        <x:v>Conveyancing / Probate</x:v>
      </x:c>
      <x:c r="C20" s="18" t="str">
        <x:v>Review</x:v>
      </x:c>
      <x:c r="D20" s="18" t="str">
        <x:v>Review</x:v>
      </x:c>
      <x:c r="E20" s="18" t="str">
        <x:v>Review</x:v>
      </x:c>
      <x:c r="F20" s="18" t="str">
        <x:v>Review</x:v>
      </x:c>
      <x:c r="G20" s="18" t="str">
        <x:v>Review</x:v>
      </x:c>
      <x:c r="H20" s="18" t="str">
        <x:v>Review</x:v>
      </x:c>
      <x:c r="I20" s="18" t="str">
        <x:v>Pass</x:v>
      </x:c>
      <x:c r="J20" s="18" t="str">
        <x:v>Review</x:v>
      </x:c>
      <x:c r="K20" s="18" t="str">
        <x:v>Review</x:v>
      </x:c>
      <x:c r="L20" s="18" t="str">
        <x:v>Pass</x:v>
      </x:c>
      <x:c r="M20" s="18" t="str">
        <x:v>Pass</x:v>
      </x:c>
      <x:c r="N20" s="18" t="str">
        <x:v>Review</x:v>
      </x:c>
      <x:c r="O20" s="18" t="str">
        <x:v>Review</x:v>
      </x:c>
      <x:c r="P20" s="18" t="str">
        <x:v>Review</x:v>
      </x:c>
      <x:c r="Q20" s="18" t="str">
        <x:v>Review</x:v>
      </x:c>
      <x:c r="R20" s="18" t="str">
        <x:v>Review</x:v>
      </x:c>
      <x:c r="S20" s="18" t="str">
        <x:v>Pass</x:v>
      </x:c>
      <x:c r="T20" s="18" t="str">
        <x:v>Medium</x:v>
      </x:c>
      <x:c r="U20" s="18" t="str">
        <x:v>Generic pricing risk</x:v>
      </x:c>
      <x:c r="V20" s="18" t="str">
        <x:v>General fees page explains charging, VAT and disbursements, but service-specific Rule 1 detail is less obvious from the hub itself.</x:v>
      </x:c>
      <x:c r="W20" s="18" t="str">
        <x:v>https://bbc-law.co.uk/pricing-and-fees/</x:v>
      </x:c>
      <x:c r="X20" s="18" t="str"/>
      <x:c r="Y20" s="18" t="str"/>
    </x:row>
    <x:row r="21">
      <x:c r="A21" s="18" t="str">
        <x:v>Trethowans</x:v>
      </x:c>
      <x:c r="B21" s="18" t="str">
        <x:v>Conveyancing / Immigration / Employment</x:v>
      </x:c>
      <x:c r="C21" s="18" t="str">
        <x:v>Pass</x:v>
      </x:c>
      <x:c r="D21" s="18" t="str">
        <x:v>Review</x:v>
      </x:c>
      <x:c r="E21" s="18" t="str">
        <x:v>Review</x:v>
      </x:c>
      <x:c r="F21" s="18" t="str">
        <x:v>Review</x:v>
      </x:c>
      <x:c r="G21" s="18" t="str">
        <x:v>Review</x:v>
      </x:c>
      <x:c r="H21" s="18" t="str">
        <x:v>Pass</x:v>
      </x:c>
      <x:c r="I21" s="18" t="str">
        <x:v>Pass</x:v>
      </x:c>
      <x:c r="J21" s="18" t="str">
        <x:v>Pass</x:v>
      </x:c>
      <x:c r="K21" s="18" t="str">
        <x:v>Pass</x:v>
      </x:c>
      <x:c r="L21" s="18" t="str">
        <x:v>Pass</x:v>
      </x:c>
      <x:c r="M21" s="18" t="str">
        <x:v>Pass</x:v>
      </x:c>
      <x:c r="N21" s="18" t="str">
        <x:v>Pass</x:v>
      </x:c>
      <x:c r="O21" s="18" t="str">
        <x:v>Pass</x:v>
      </x:c>
      <x:c r="P21" s="18" t="str">
        <x:v>Pass</x:v>
      </x:c>
      <x:c r="Q21" s="18" t="str">
        <x:v>Pass</x:v>
      </x:c>
      <x:c r="R21" s="18" t="str">
        <x:v>Pass</x:v>
      </x:c>
      <x:c r="S21" s="18" t="str">
        <x:v>Pass</x:v>
      </x:c>
      <x:c r="T21" s="18" t="str">
        <x:v>High</x:v>
      </x:c>
      <x:c r="U21" s="18" t="str">
        <x:v>Excellent multi-service control</x:v>
      </x:c>
      <x:c r="V21" s="18" t="str">
        <x:v>Service pages expose charges, staff/supervision, VAT, disbursements, stages and timescales.</x:v>
      </x:c>
      <x:c r="W21" s="18" t="str">
        <x:v>https://www.trethowans.com/services/individual/conveyancing-solicitors/conveyancing-solicitors/</x:v>
      </x:c>
      <x:c r="X21" s="18" t="str"/>
      <x:c r="Y21" s="18" t="str">
        <x:v>https://www.trethowans.com/about/</x:v>
      </x:c>
    </x:row>
    <x:row r="22">
      <x:c r="A22" s="18" t="str">
        <x:v>Moore Barlow</x:v>
      </x:c>
      <x:c r="B22" s="18" t="str">
        <x:v>Residential conveyancing</x:v>
      </x:c>
      <x:c r="C22" s="18" t="str">
        <x:v>Review</x:v>
      </x:c>
      <x:c r="D22" s="18" t="str">
        <x:v>Review</x:v>
      </x:c>
      <x:c r="E22" s="18" t="str">
        <x:v>Pass</x:v>
      </x:c>
      <x:c r="F22" s="18" t="str">
        <x:v>Review</x:v>
      </x:c>
      <x:c r="G22" s="18" t="str">
        <x:v>Review</x:v>
      </x:c>
      <x:c r="H22" s="18" t="str">
        <x:v>Pass</x:v>
      </x:c>
      <x:c r="I22" s="18" t="str">
        <x:v>Pass</x:v>
      </x:c>
      <x:c r="J22" s="18" t="str">
        <x:v>Review</x:v>
      </x:c>
      <x:c r="K22" s="18" t="str">
        <x:v>Review</x:v>
      </x:c>
      <x:c r="L22" s="18" t="str">
        <x:v>Pass</x:v>
      </x:c>
      <x:c r="M22" s="18" t="str">
        <x:v>Pass</x:v>
      </x:c>
      <x:c r="N22" s="18" t="str">
        <x:v>Pass</x:v>
      </x:c>
      <x:c r="O22" s="18" t="str">
        <x:v>Pass</x:v>
      </x:c>
      <x:c r="P22" s="18" t="str">
        <x:v>Pass</x:v>
      </x:c>
      <x:c r="Q22" s="18" t="str">
        <x:v>Review</x:v>
      </x:c>
      <x:c r="R22" s="18" t="str">
        <x:v>Review</x:v>
      </x:c>
      <x:c r="S22" s="18" t="str">
        <x:v>Pass</x:v>
      </x:c>
      <x:c r="T22" s="18" t="str">
        <x:v>High</x:v>
      </x:c>
      <x:c r="U22" s="18" t="str">
        <x:v>PDF-backed pricing</x:v>
      </x:c>
      <x:c r="V22" s="18" t="str">
        <x:v>Central pricing page links service-specific details; conveyancing PDF contains ranges, VAT and exclusions.</x:v>
      </x:c>
      <x:c r="W22" s="18" t="str">
        <x:v>https://www.moorebarlow.com/pricing-and-services/</x:v>
      </x:c>
      <x:c r="X22" s="18" t="str">
        <x:v>https://www.moorebarlow.com/complaints/</x:v>
      </x:c>
      <x:c r="Y22" s="18" t="str"/>
    </x:row>
    <x:row r="23">
      <x:c r="A23" s="18" t="str">
        <x:v>Biscoes Solicitors</x:v>
      </x:c>
      <x:c r="B23" s="18" t="str">
        <x:v>Probate / Conveyancing</x:v>
      </x:c>
      <x:c r="C23" s="18" t="str">
        <x:v>Review</x:v>
      </x:c>
      <x:c r="D23" s="18" t="str">
        <x:v>Review</x:v>
      </x:c>
      <x:c r="E23" s="18" t="str">
        <x:v>Review</x:v>
      </x:c>
      <x:c r="F23" s="18" t="str">
        <x:v>Review</x:v>
      </x:c>
      <x:c r="G23" s="18" t="str">
        <x:v>Review</x:v>
      </x:c>
      <x:c r="H23" s="18" t="str">
        <x:v>Pass</x:v>
      </x:c>
      <x:c r="I23" s="18" t="str">
        <x:v>Pass</x:v>
      </x:c>
      <x:c r="J23" s="18" t="str">
        <x:v>Pass</x:v>
      </x:c>
      <x:c r="K23" s="18" t="str">
        <x:v>Pass</x:v>
      </x:c>
      <x:c r="L23" s="18" t="str">
        <x:v>Pass</x:v>
      </x:c>
      <x:c r="M23" s="18" t="str">
        <x:v>Pass</x:v>
      </x:c>
      <x:c r="N23" s="18" t="str">
        <x:v>Review</x:v>
      </x:c>
      <x:c r="O23" s="18" t="str">
        <x:v>Pass</x:v>
      </x:c>
      <x:c r="P23" s="18" t="str">
        <x:v>Pass</x:v>
      </x:c>
      <x:c r="Q23" s="18" t="str">
        <x:v>Review</x:v>
      </x:c>
      <x:c r="R23" s="18" t="str">
        <x:v>Review</x:v>
      </x:c>
      <x:c r="S23" s="18" t="str">
        <x:v>Pass</x:v>
      </x:c>
      <x:c r="T23" s="18" t="str">
        <x:v>High</x:v>
      </x:c>
      <x:c r="U23" s="18" t="str">
        <x:v>Strong detailed pricing</x:v>
      </x:c>
      <x:c r="V23" s="18" t="str">
        <x:v>Probate page is unusually detailed on staff experience, fees, VAT, assumptions, exclusions and disbursements.</x:v>
      </x:c>
      <x:c r="W23" s="18" t="str">
        <x:v>https://www.biscoes-law.co.uk/site/about/pricing/probate-pricing/</x:v>
      </x:c>
      <x:c r="X23" s="18" t="str"/>
      <x:c r="Y23" s="18" t="str"/>
    </x:row>
    <x:row r="24">
      <x:c r="A24" s="18" t="str">
        <x:v>Guest Walker</x:v>
      </x:c>
      <x:c r="B24" s="18" t="str">
        <x:v>Conveyancing / Probate</x:v>
      </x:c>
      <x:c r="C24" s="18" t="str">
        <x:v>Review</x:v>
      </x:c>
      <x:c r="D24" s="18" t="str">
        <x:v>Review</x:v>
      </x:c>
      <x:c r="E24" s="18" t="str">
        <x:v>Review</x:v>
      </x:c>
      <x:c r="F24" s="18" t="str">
        <x:v>Review</x:v>
      </x:c>
      <x:c r="G24" s="18" t="str">
        <x:v>Review</x:v>
      </x:c>
      <x:c r="H24" s="18" t="str">
        <x:v>Pass</x:v>
      </x:c>
      <x:c r="I24" s="18" t="str">
        <x:v>Pass</x:v>
      </x:c>
      <x:c r="J24" s="18" t="str">
        <x:v>Pass</x:v>
      </x:c>
      <x:c r="K24" s="18" t="str">
        <x:v>Review</x:v>
      </x:c>
      <x:c r="L24" s="18" t="str">
        <x:v>Pass</x:v>
      </x:c>
      <x:c r="M24" s="18" t="str">
        <x:v>Pass</x:v>
      </x:c>
      <x:c r="N24" s="18" t="str">
        <x:v>Review</x:v>
      </x:c>
      <x:c r="O24" s="18" t="str">
        <x:v>Pass</x:v>
      </x:c>
      <x:c r="P24" s="18" t="str">
        <x:v>Review</x:v>
      </x:c>
      <x:c r="Q24" s="18" t="str">
        <x:v>Review</x:v>
      </x:c>
      <x:c r="R24" s="18" t="str">
        <x:v>Review</x:v>
      </x:c>
      <x:c r="S24" s="18" t="str">
        <x:v>Pass</x:v>
      </x:c>
      <x:c r="T24" s="18" t="str">
        <x:v>Medium</x:v>
      </x:c>
      <x:c r="U24" s="18" t="str">
        <x:v>Long-form transparency</x:v>
      </x:c>
      <x:c r="V24" s="18" t="str">
        <x:v>Good fee examples and staff/rate information; long narrative page challenges extraction.</x:v>
      </x:c>
      <x:c r="W24" s="18" t="str">
        <x:v>https://www.guestwalker.co.uk/feestransparency/</x:v>
      </x:c>
      <x:c r="X24" s="18" t="str"/>
      <x:c r="Y24" s="18" t="str"/>
    </x:row>
    <x:row r="25">
      <x:c r="A25" s="18" t="str">
        <x:v>Blacks Solicitors</x:v>
      </x:c>
      <x:c r="B25" s="18" t="str">
        <x:v>Probate / Conveyancing / Employment / Debt</x:v>
      </x:c>
      <x:c r="C25" s="18" t="str">
        <x:v>Review</x:v>
      </x:c>
      <x:c r="D25" s="18" t="str">
        <x:v>Review</x:v>
      </x:c>
      <x:c r="E25" s="18" t="str">
        <x:v>Review</x:v>
      </x:c>
      <x:c r="F25" s="18" t="str">
        <x:v>Review</x:v>
      </x:c>
      <x:c r="G25" s="18" t="str">
        <x:v>Review</x:v>
      </x:c>
      <x:c r="H25" s="18" t="str">
        <x:v>Pass</x:v>
      </x:c>
      <x:c r="I25" s="18" t="str">
        <x:v>Pass</x:v>
      </x:c>
      <x:c r="J25" s="18" t="str">
        <x:v>Review</x:v>
      </x:c>
      <x:c r="K25" s="18" t="str">
        <x:v>Review</x:v>
      </x:c>
      <x:c r="L25" s="18" t="str">
        <x:v>Pass</x:v>
      </x:c>
      <x:c r="M25" s="18" t="str">
        <x:v>Pass</x:v>
      </x:c>
      <x:c r="N25" s="18" t="str">
        <x:v>Review</x:v>
      </x:c>
      <x:c r="O25" s="18" t="str">
        <x:v>Pass</x:v>
      </x:c>
      <x:c r="P25" s="18" t="str">
        <x:v>Pass</x:v>
      </x:c>
      <x:c r="Q25" s="18" t="str">
        <x:v>Review</x:v>
      </x:c>
      <x:c r="R25" s="18" t="str">
        <x:v>Review</x:v>
      </x:c>
      <x:c r="S25" s="18" t="str">
        <x:v>Pass</x:v>
      </x:c>
      <x:c r="T25" s="18" t="str">
        <x:v>Medium</x:v>
      </x:c>
      <x:c r="U25" s="18" t="str">
        <x:v>Hub + service pages</x:v>
      </x:c>
      <x:c r="V25" s="18" t="str">
        <x:v>Pricing hub links required service pages; probate page provides fixed/range fees and disbursements.</x:v>
      </x:c>
      <x:c r="W25" s="18" t="str">
        <x:v>https://www.lawblacks.com/pricing</x:v>
      </x:c>
      <x:c r="X25" s="18" t="str"/>
      <x:c r="Y25" s="18" t="str"/>
    </x:row>
    <x:row r="26">
      <x:c r="A26" s="18" t="str">
        <x:v>John Howe &amp; Co</x:v>
      </x:c>
      <x:c r="B26" s="18" t="str">
        <x:v>Conveyancing / Probate / Employment / Debt</x:v>
      </x:c>
      <x:c r="C26" s="18" t="str">
        <x:v>Pass</x:v>
      </x:c>
      <x:c r="D26" s="18" t="str">
        <x:v>Review</x:v>
      </x:c>
      <x:c r="E26" s="18" t="str">
        <x:v>Review</x:v>
      </x:c>
      <x:c r="F26" s="18" t="str">
        <x:v>Review</x:v>
      </x:c>
      <x:c r="G26" s="18" t="str">
        <x:v>Review</x:v>
      </x:c>
      <x:c r="H26" s="18" t="str">
        <x:v>Pass</x:v>
      </x:c>
      <x:c r="I26" s="18" t="str">
        <x:v>Pass</x:v>
      </x:c>
      <x:c r="J26" s="18" t="str">
        <x:v>Pass</x:v>
      </x:c>
      <x:c r="K26" s="18" t="str">
        <x:v>Review</x:v>
      </x:c>
      <x:c r="L26" s="18" t="str">
        <x:v>Pass</x:v>
      </x:c>
      <x:c r="M26" s="18" t="str">
        <x:v>Pass</x:v>
      </x:c>
      <x:c r="N26" s="18" t="str">
        <x:v>Review</x:v>
      </x:c>
      <x:c r="O26" s="18" t="str">
        <x:v>Pass</x:v>
      </x:c>
      <x:c r="P26" s="18" t="str">
        <x:v>Review</x:v>
      </x:c>
      <x:c r="Q26" s="18" t="str">
        <x:v>Pass</x:v>
      </x:c>
      <x:c r="R26" s="18" t="str">
        <x:v>Review</x:v>
      </x:c>
      <x:c r="S26" s="18" t="str">
        <x:v>Pass</x:v>
      </x:c>
      <x:c r="T26" s="18" t="str">
        <x:v>High</x:v>
      </x:c>
      <x:c r="U26" s="18" t="str">
        <x:v>Dense all-in-one page</x:v>
      </x:c>
      <x:c r="V26" s="18" t="str">
        <x:v>Services-and-costs page has multiple regulated service types, pricing, staff experience, VAT, disbursements and stages.</x:v>
      </x:c>
      <x:c r="W26" s="18" t="str">
        <x:v>https://www.jhowe.co.uk/services/services-and-costs-information</x:v>
      </x:c>
      <x:c r="X26" s="18" t="str"/>
      <x:c r="Y26" s="18" t="str">
        <x:v>https://www.jhowe.co.uk/</x:v>
      </x:c>
    </x:row>
    <x:row r="27">
      <x:c r="A27" s="18" t="str">
        <x:v>Sintons</x:v>
      </x:c>
      <x:c r="B27" s="18" t="str">
        <x:v>Probate / Conveyancing / Employment</x:v>
      </x:c>
      <x:c r="C27" s="18" t="str">
        <x:v>Review</x:v>
      </x:c>
      <x:c r="D27" s="18" t="str">
        <x:v>Review</x:v>
      </x:c>
      <x:c r="E27" s="18" t="str">
        <x:v>Review</x:v>
      </x:c>
      <x:c r="F27" s="18" t="str">
        <x:v>Review</x:v>
      </x:c>
      <x:c r="G27" s="18" t="str">
        <x:v>Review</x:v>
      </x:c>
      <x:c r="H27" s="18" t="str">
        <x:v>Pass</x:v>
      </x:c>
      <x:c r="I27" s="18" t="str">
        <x:v>Pass</x:v>
      </x:c>
      <x:c r="J27" s="18" t="str">
        <x:v>Pass</x:v>
      </x:c>
      <x:c r="K27" s="18" t="str">
        <x:v>Pass</x:v>
      </x:c>
      <x:c r="L27" s="18" t="str">
        <x:v>Pass</x:v>
      </x:c>
      <x:c r="M27" s="18" t="str">
        <x:v>Pass</x:v>
      </x:c>
      <x:c r="N27" s="18" t="str">
        <x:v>Pass</x:v>
      </x:c>
      <x:c r="O27" s="18" t="str">
        <x:v>Pass</x:v>
      </x:c>
      <x:c r="P27" s="18" t="str">
        <x:v>Pass</x:v>
      </x:c>
      <x:c r="Q27" s="18" t="str">
        <x:v>Pass</x:v>
      </x:c>
      <x:c r="R27" s="18" t="str">
        <x:v>Pass</x:v>
      </x:c>
      <x:c r="S27" s="18" t="str">
        <x:v>Pass</x:v>
      </x:c>
      <x:c r="T27" s="18" t="str">
        <x:v>High</x:v>
      </x:c>
      <x:c r="U27" s="18" t="str">
        <x:v>Strong control with stale-risk signal</x:v>
      </x:c>
      <x:c r="V27" s="18" t="str">
        <x:v>Conveyancing/probate pages cover prices, VAT, disbursements, stages, timescales, staff and exclusions. Employment page still references rates reviewed in 2018.</x:v>
      </x:c>
      <x:c r="W27" s="18" t="str">
        <x:v>https://sintons.co.uk/personal-family-conveyancing/pricing/</x:v>
      </x:c>
      <x:c r="X27" s="18" t="str"/>
      <x:c r="Y27" s="18" t="str"/>
    </x:row>
    <x:row r="28">
      <x:c r="A28" s="18" t="str">
        <x:v>Rachel Sebastian &amp; Co</x:v>
      </x:c>
      <x:c r="B28" s="18" t="str">
        <x:v>Probate</x:v>
      </x:c>
      <x:c r="C28" s="18" t="str">
        <x:v>Pass</x:v>
      </x:c>
      <x:c r="D28" s="18" t="str">
        <x:v>Review</x:v>
      </x:c>
      <x:c r="E28" s="18" t="str">
        <x:v>Pass</x:v>
      </x:c>
      <x:c r="F28" s="18" t="str">
        <x:v>Review</x:v>
      </x:c>
      <x:c r="G28" s="18" t="str">
        <x:v>Pass</x:v>
      </x:c>
      <x:c r="H28" s="18" t="str">
        <x:v>Pass</x:v>
      </x:c>
      <x:c r="I28" s="18" t="str">
        <x:v>Pass</x:v>
      </x:c>
      <x:c r="J28" s="18" t="str">
        <x:v>Pass</x:v>
      </x:c>
      <x:c r="K28" s="18" t="str">
        <x:v>Review</x:v>
      </x:c>
      <x:c r="L28" s="18" t="str">
        <x:v>Pass</x:v>
      </x:c>
      <x:c r="M28" s="18" t="str">
        <x:v>Pass</x:v>
      </x:c>
      <x:c r="N28" s="18" t="str">
        <x:v>Review</x:v>
      </x:c>
      <x:c r="O28" s="18" t="str">
        <x:v>Pass</x:v>
      </x:c>
      <x:c r="P28" s="18" t="str">
        <x:v>Pass</x:v>
      </x:c>
      <x:c r="Q28" s="18" t="str">
        <x:v>Review</x:v>
      </x:c>
      <x:c r="R28" s="18" t="str">
        <x:v>Review</x:v>
      </x:c>
      <x:c r="S28" s="18" t="str">
        <x:v>Pass</x:v>
      </x:c>
      <x:c r="T28" s="18" t="str">
        <x:v>High</x:v>
      </x:c>
      <x:c r="U28" s="18" t="str">
        <x:v>Stale-content case</x:v>
      </x:c>
      <x:c r="V28" s="18" t="str">
        <x:v>Probate page is detailed but contains historic probate-court fee references and a proposed 2019 fee change—excellent drift/staleness case.</x:v>
      </x:c>
      <x:c r="W28" s="18" t="str">
        <x:v>https://www.rslegal.co.uk/probate.html</x:v>
      </x:c>
      <x:c r="X28" s="18" t="str">
        <x:v>https://www.rslegal.co.uk/about.html</x:v>
      </x:c>
      <x:c r="Y28" s="18" t="str">
        <x:v>https://www.rslegal.co.uk/about.html</x:v>
      </x:c>
    </x:row>
    <x:row r="29">
      <x:c r="A29" s="18" t="str">
        <x:v>Minahan Hirst &amp; Co</x:v>
      </x:c>
      <x:c r="B29" s="18" t="str">
        <x:v>Probate</x:v>
      </x:c>
      <x:c r="C29" s="18" t="str">
        <x:v>Review</x:v>
      </x:c>
      <x:c r="D29" s="18" t="str">
        <x:v>Review</x:v>
      </x:c>
      <x:c r="E29" s="18" t="str">
        <x:v>Review</x:v>
      </x:c>
      <x:c r="F29" s="18" t="str">
        <x:v>Review</x:v>
      </x:c>
      <x:c r="G29" s="18" t="str">
        <x:v>Review</x:v>
      </x:c>
      <x:c r="H29" s="18" t="str">
        <x:v>Review</x:v>
      </x:c>
      <x:c r="I29" s="18" t="str">
        <x:v>Review</x:v>
      </x:c>
      <x:c r="J29" s="18" t="str">
        <x:v>Review</x:v>
      </x:c>
      <x:c r="K29" s="18" t="str">
        <x:v>Review</x:v>
      </x:c>
      <x:c r="L29" s="18" t="str">
        <x:v>Review</x:v>
      </x:c>
      <x:c r="M29" s="18" t="str">
        <x:v>Review</x:v>
      </x:c>
      <x:c r="N29" s="18" t="str">
        <x:v>Review</x:v>
      </x:c>
      <x:c r="O29" s="18" t="str">
        <x:v>Review</x:v>
      </x:c>
      <x:c r="P29" s="18" t="str">
        <x:v>Review</x:v>
      </x:c>
      <x:c r="Q29" s="18" t="str">
        <x:v>Review</x:v>
      </x:c>
      <x:c r="R29" s="18" t="str">
        <x:v>Review</x:v>
      </x:c>
      <x:c r="S29" s="18" t="str">
        <x:v>Review</x:v>
      </x:c>
      <x:c r="T29" s="18" t="str">
        <x:v>Low</x:v>
      </x:c>
      <x:c r="U29" s="18" t="str">
        <x:v>Low-evidence edge case</x:v>
      </x:c>
      <x:c r="V29" s="18" t="str">
        <x:v>Public pricing evidence was not reliably established in this research pass; keep as a deliberate UNKNOWN/REVIEW case.</x:v>
      </x:c>
      <x:c r="W29" s="18" t="str">
        <x:v>https://www.minahan-hirst.co.uk/probate-and-estates</x:v>
      </x:c>
      <x:c r="X29" s="18" t="str"/>
      <x:c r="Y29" s="18" t="str"/>
    </x:row>
    <x:row r="30">
      <x:c r="A30" s="18" t="str">
        <x:v>Private Client Solicitors</x:v>
      </x:c>
      <x:c r="B30" s="18" t="str">
        <x:v>Probate</x:v>
      </x:c>
      <x:c r="C30" s="18" t="str">
        <x:v>Pass</x:v>
      </x:c>
      <x:c r="D30" s="18" t="str">
        <x:v>Review</x:v>
      </x:c>
      <x:c r="E30" s="18" t="str">
        <x:v>Pass</x:v>
      </x:c>
      <x:c r="F30" s="18" t="str">
        <x:v>Review</x:v>
      </x:c>
      <x:c r="G30" s="18" t="str">
        <x:v>Review</x:v>
      </x:c>
      <x:c r="H30" s="18" t="str">
        <x:v>Pass</x:v>
      </x:c>
      <x:c r="I30" s="18" t="str">
        <x:v>Pass</x:v>
      </x:c>
      <x:c r="J30" s="18" t="str">
        <x:v>Pass</x:v>
      </x:c>
      <x:c r="K30" s="18" t="str">
        <x:v>Review</x:v>
      </x:c>
      <x:c r="L30" s="18" t="str">
        <x:v>Pass</x:v>
      </x:c>
      <x:c r="M30" s="18" t="str">
        <x:v>Pass</x:v>
      </x:c>
      <x:c r="N30" s="18" t="str">
        <x:v>Pass</x:v>
      </x:c>
      <x:c r="O30" s="18" t="str">
        <x:v>Pass</x:v>
      </x:c>
      <x:c r="P30" s="18" t="str">
        <x:v>Pass</x:v>
      </x:c>
      <x:c r="Q30" s="18" t="str">
        <x:v>Review</x:v>
      </x:c>
      <x:c r="R30" s="18" t="str">
        <x:v>Pass</x:v>
      </x:c>
      <x:c r="S30" s="18" t="str">
        <x:v>Pass</x:v>
      </x:c>
      <x:c r="T30" s="18" t="str">
        <x:v>High</x:v>
      </x:c>
      <x:c r="U30" s="18" t="str">
        <x:v>Strong niche control</x:v>
      </x:c>
      <x:c r="V30" s="18" t="str">
        <x:v>Dedicated price-transparency page has fixed/range fees, hourly rates, VAT, disbursements, inclusions/exclusions and timescale discussion.</x:v>
      </x:c>
      <x:c r="W30" s="18" t="str">
        <x:v>https://www.privateclientsolicitors.co.uk/service/price-transparency/</x:v>
      </x:c>
      <x:c r="X30" s="18" t="str"/>
      <x:c r="Y30" s="18" t="str">
        <x:v>https://www.privateclientsolicitors.co.uk/services/</x:v>
      </x:c>
    </x:row>
    <x:row r="31">
      <x:c r="A31" s="18" t="str">
        <x:v>Slater Heelis</x:v>
      </x:c>
      <x:c r="B31" s="18" t="str">
        <x:v>Conveyancing / Probate</x:v>
      </x:c>
      <x:c r="C31" s="18" t="str">
        <x:v>Review</x:v>
      </x:c>
      <x:c r="D31" s="18" t="str">
        <x:v>Review</x:v>
      </x:c>
      <x:c r="E31" s="18" t="str">
        <x:v>Pass</x:v>
      </x:c>
      <x:c r="F31" s="18" t="str">
        <x:v>Pass</x:v>
      </x:c>
      <x:c r="G31" s="18" t="str">
        <x:v>Review</x:v>
      </x:c>
      <x:c r="H31" s="18" t="str">
        <x:v>Pass</x:v>
      </x:c>
      <x:c r="I31" s="18" t="str">
        <x:v>Pass</x:v>
      </x:c>
      <x:c r="J31" s="18" t="str">
        <x:v>Review</x:v>
      </x:c>
      <x:c r="K31" s="18" t="str">
        <x:v>Review</x:v>
      </x:c>
      <x:c r="L31" s="18" t="str">
        <x:v>Review</x:v>
      </x:c>
      <x:c r="M31" s="18" t="str">
        <x:v>Review</x:v>
      </x:c>
      <x:c r="N31" s="18" t="str">
        <x:v>Review</x:v>
      </x:c>
      <x:c r="O31" s="18" t="str">
        <x:v>Review</x:v>
      </x:c>
      <x:c r="P31" s="18" t="str">
        <x:v>Review</x:v>
      </x:c>
      <x:c r="Q31" s="18" t="str">
        <x:v>Review</x:v>
      </x:c>
      <x:c r="R31" s="18" t="str">
        <x:v>Review</x:v>
      </x:c>
      <x:c r="S31" s="18" t="str">
        <x:v>Pass</x:v>
      </x:c>
      <x:c r="T31" s="18" t="str">
        <x:v>Medium</x:v>
      </x:c>
      <x:c r="U31" s="18" t="str">
        <x:v>Hub architecture</x:v>
      </x:c>
      <x:c r="V31" s="18" t="str">
        <x:v>Fees hub plus detailed complaints page; useful for multi-page regulatory surface discovery.</x:v>
      </x:c>
      <x:c r="W31" s="18" t="str">
        <x:v>https://www.slaterheelis.co.uk/our-fees/</x:v>
      </x:c>
      <x:c r="X31" s="18" t="str">
        <x:v>https://www.slaterheelis.co.uk/slater-heelis-client-complaints-procedure/</x:v>
      </x:c>
      <x:c r="Y31" s="18" t="str"/>
    </x:row>
    <x:row r="32">
      <x:c r="A32" s="18" t="str">
        <x:v>Stephensons Solicitors</x:v>
      </x:c>
      <x:c r="B32" s="18" t="str">
        <x:v>Conveyancing</x:v>
      </x:c>
      <x:c r="C32" s="18" t="str">
        <x:v>Review</x:v>
      </x:c>
      <x:c r="D32" s="18" t="str">
        <x:v>Review</x:v>
      </x:c>
      <x:c r="E32" s="18" t="str">
        <x:v>Review</x:v>
      </x:c>
      <x:c r="F32" s="18" t="str">
        <x:v>Review</x:v>
      </x:c>
      <x:c r="G32" s="18" t="str">
        <x:v>Review</x:v>
      </x:c>
      <x:c r="H32" s="18" t="str">
        <x:v>Pass</x:v>
      </x:c>
      <x:c r="I32" s="18" t="str">
        <x:v>Review</x:v>
      </x:c>
      <x:c r="J32" s="18" t="str">
        <x:v>Review</x:v>
      </x:c>
      <x:c r="K32" s="18" t="str">
        <x:v>Review</x:v>
      </x:c>
      <x:c r="L32" s="18" t="str">
        <x:v>Pass</x:v>
      </x:c>
      <x:c r="M32" s="18" t="str">
        <x:v>Review</x:v>
      </x:c>
      <x:c r="N32" s="18" t="str">
        <x:v>Review</x:v>
      </x:c>
      <x:c r="O32" s="18" t="str">
        <x:v>Pass</x:v>
      </x:c>
      <x:c r="P32" s="18" t="str">
        <x:v>Review</x:v>
      </x:c>
      <x:c r="Q32" s="18" t="str">
        <x:v>Pass</x:v>
      </x:c>
      <x:c r="R32" s="18" t="str">
        <x:v>Pass</x:v>
      </x:c>
      <x:c r="S32" s="18" t="str">
        <x:v>Pass</x:v>
      </x:c>
      <x:c r="T32" s="18" t="str">
        <x:v>Medium</x:v>
      </x:c>
      <x:c r="U32" s="18" t="str">
        <x:v>Quote-generator case</x:v>
      </x:c>
      <x:c r="V32" s="18" t="str">
        <x:v>Instant quote/calculator plus supporting fixed-fee and FAQ pages; excellent quote-flow benchmark.</x:v>
      </x:c>
      <x:c r="W32" s="18" t="str">
        <x:v>https://www.stephensons.co.uk/site/individuals/srvhouse/conveyancing-quote/</x:v>
      </x:c>
      <x:c r="X32" s="18" t="str"/>
      <x:c r="Y32" s="18" t="str"/>
    </x:row>
    <x:row r="33">
      <x:c r="A33" s="18" t="str">
        <x:v>Guy Williams Layton</x:v>
      </x:c>
      <x:c r="B33" s="18" t="str">
        <x:v>Multiple</x:v>
      </x:c>
      <x:c r="C33" s="18" t="str">
        <x:v>Review</x:v>
      </x:c>
      <x:c r="D33" s="18" t="str">
        <x:v>Review</x:v>
      </x:c>
      <x:c r="E33" s="18" t="str">
        <x:v>Review</x:v>
      </x:c>
      <x:c r="F33" s="18" t="str">
        <x:v>Review</x:v>
      </x:c>
      <x:c r="G33" s="18" t="str">
        <x:v>Review</x:v>
      </x:c>
      <x:c r="H33" s="18" t="str">
        <x:v>Pass</x:v>
      </x:c>
      <x:c r="I33" s="18" t="str">
        <x:v>Pass</x:v>
      </x:c>
      <x:c r="J33" s="18" t="str">
        <x:v>Pass</x:v>
      </x:c>
      <x:c r="K33" s="18" t="str">
        <x:v>Review</x:v>
      </x:c>
      <x:c r="L33" s="18" t="str">
        <x:v>Review</x:v>
      </x:c>
      <x:c r="M33" s="18" t="str">
        <x:v>Review</x:v>
      </x:c>
      <x:c r="N33" s="18" t="str">
        <x:v>Review</x:v>
      </x:c>
      <x:c r="O33" s="18" t="str">
        <x:v>Review</x:v>
      </x:c>
      <x:c r="P33" s="18" t="str">
        <x:v>Review</x:v>
      </x:c>
      <x:c r="Q33" s="18" t="str">
        <x:v>Review</x:v>
      </x:c>
      <x:c r="R33" s="18" t="str">
        <x:v>Review</x:v>
      </x:c>
      <x:c r="S33" s="18" t="str">
        <x:v>Pass</x:v>
      </x:c>
      <x:c r="T33" s="18" t="str">
        <x:v>Medium</x:v>
      </x:c>
      <x:c r="U33" s="18" t="str">
        <x:v>Accordion/dropdown hub</x:v>
      </x:c>
      <x:c r="V33" s="18" t="str">
        <x:v>Pricing commitment page explicitly links service-specific information and team qualifications.</x:v>
      </x:c>
      <x:c r="W33" s="18" t="str">
        <x:v>https://gwl.co.uk/our-pricing-commitment-to-you/</x:v>
      </x:c>
      <x:c r="X33" s="18" t="str"/>
      <x:c r="Y33" s="18" t="str"/>
    </x:row>
    <x:row r="34">
      <x:c r="A34" s="18" t="str">
        <x:v>Morecrofts</x:v>
      </x:c>
      <x:c r="B34" s="18" t="str">
        <x:v>Licensing / multiple</x:v>
      </x:c>
      <x:c r="C34" s="18" t="str">
        <x:v>Review</x:v>
      </x:c>
      <x:c r="D34" s="18" t="str">
        <x:v>Review</x:v>
      </x:c>
      <x:c r="E34" s="18" t="str">
        <x:v>Pass</x:v>
      </x:c>
      <x:c r="F34" s="18" t="str">
        <x:v>Pass</x:v>
      </x:c>
      <x:c r="G34" s="18" t="str">
        <x:v>Pass</x:v>
      </x:c>
      <x:c r="H34" s="18" t="str">
        <x:v>Review</x:v>
      </x:c>
      <x:c r="I34" s="18" t="str">
        <x:v>Pass</x:v>
      </x:c>
      <x:c r="J34" s="18" t="str">
        <x:v>Review</x:v>
      </x:c>
      <x:c r="K34" s="18" t="str">
        <x:v>Review</x:v>
      </x:c>
      <x:c r="L34" s="18" t="str">
        <x:v>Pass</x:v>
      </x:c>
      <x:c r="M34" s="18" t="str">
        <x:v>Review</x:v>
      </x:c>
      <x:c r="N34" s="18" t="str">
        <x:v>Review</x:v>
      </x:c>
      <x:c r="O34" s="18" t="str">
        <x:v>Review</x:v>
      </x:c>
      <x:c r="P34" s="18" t="str">
        <x:v>Review</x:v>
      </x:c>
      <x:c r="Q34" s="18" t="str">
        <x:v>Review</x:v>
      </x:c>
      <x:c r="R34" s="18" t="str">
        <x:v>Review</x:v>
      </x:c>
      <x:c r="S34" s="18" t="str">
        <x:v>Pass</x:v>
      </x:c>
      <x:c r="T34" s="18" t="str">
        <x:v>Medium</x:v>
      </x:c>
      <x:c r="U34" s="18" t="str">
        <x:v>Generic page + service details</x:v>
      </x:c>
      <x:c r="V34" s="18" t="str">
        <x:v>General fees page alone is insufficient for Rule 1, but service pages and complaints/customer-service pages provide useful supporting signals.</x:v>
      </x:c>
      <x:c r="W34" s="18" t="str">
        <x:v>https://www.morecrofts.co.uk/fees-costs/</x:v>
      </x:c>
      <x:c r="X34" s="18" t="str">
        <x:v>https://www.morecrofts.co.uk/customer-services/</x:v>
      </x:c>
      <x:c r="Y34" s="18" t="str"/>
    </x:row>
    <x:row r="35">
      <x:c r="A35" s="18" t="str">
        <x:v>MSB Solicitors</x:v>
      </x:c>
      <x:c r="B35" s="18" t="str">
        <x:v>Probate / Employment / Conveyancing / Debt / Motoring</x:v>
      </x:c>
      <x:c r="C35" s="18" t="str">
        <x:v>Pass</x:v>
      </x:c>
      <x:c r="D35" s="18" t="str">
        <x:v>Review</x:v>
      </x:c>
      <x:c r="E35" s="18" t="str">
        <x:v>Pass</x:v>
      </x:c>
      <x:c r="F35" s="18" t="str">
        <x:v>Pass</x:v>
      </x:c>
      <x:c r="G35" s="18" t="str">
        <x:v>Pass</x:v>
      </x:c>
      <x:c r="H35" s="18" t="str">
        <x:v>Pass</x:v>
      </x:c>
      <x:c r="I35" s="18" t="str">
        <x:v>Pass</x:v>
      </x:c>
      <x:c r="J35" s="18" t="str">
        <x:v>Review</x:v>
      </x:c>
      <x:c r="K35" s="18" t="str">
        <x:v>Review</x:v>
      </x:c>
      <x:c r="L35" s="18" t="str">
        <x:v>Pass</x:v>
      </x:c>
      <x:c r="M35" s="18" t="str">
        <x:v>Pass</x:v>
      </x:c>
      <x:c r="N35" s="18" t="str">
        <x:v>Pass</x:v>
      </x:c>
      <x:c r="O35" s="18" t="str">
        <x:v>Pass</x:v>
      </x:c>
      <x:c r="P35" s="18" t="str">
        <x:v>Pass</x:v>
      </x:c>
      <x:c r="Q35" s="18" t="str">
        <x:v>Pass</x:v>
      </x:c>
      <x:c r="R35" s="18" t="str">
        <x:v>Review</x:v>
      </x:c>
      <x:c r="S35" s="18" t="str">
        <x:v>Pass</x:v>
      </x:c>
      <x:c r="T35" s="18" t="str">
        <x:v>High</x:v>
      </x:c>
      <x:c r="U35" s="18" t="str">
        <x:v>PDF-heavy multi-service</x:v>
      </x:c>
      <x:c r="V35" s="18" t="str">
        <x:v>Fees &amp; Procedures hub links many regulated services; probate/debt documents contain structured pricing. Strong document-monitoring case.</x:v>
      </x:c>
      <x:c r="W35" s="18" t="str">
        <x:v>https://www.msbsolicitors.co.uk/fees-procedures/</x:v>
      </x:c>
      <x:c r="X35" s="18" t="str">
        <x:v>https://www.msbsolicitors.co.uk/complaints-policy</x:v>
      </x:c>
      <x:c r="Y35" s="18" t="str">
        <x:v>https://www.msbsolicitors.co.uk/contact-us</x:v>
      </x:c>
    </x:row>
    <x:row r="36">
      <x:c r="A36" s="18" t="str">
        <x:v>Sydney Mitchell</x:v>
      </x:c>
      <x:c r="B36" s="18" t="str">
        <x:v>Immigration</x:v>
      </x:c>
      <x:c r="C36" s="18" t="str">
        <x:v>Review</x:v>
      </x:c>
      <x:c r="D36" s="18" t="str">
        <x:v>Review</x:v>
      </x:c>
      <x:c r="E36" s="18" t="str">
        <x:v>Pass</x:v>
      </x:c>
      <x:c r="F36" s="18" t="str">
        <x:v>Pass</x:v>
      </x:c>
      <x:c r="G36" s="18" t="str">
        <x:v>Pass</x:v>
      </x:c>
      <x:c r="H36" s="18" t="str">
        <x:v>Pass</x:v>
      </x:c>
      <x:c r="I36" s="18" t="str">
        <x:v>Pass</x:v>
      </x:c>
      <x:c r="J36" s="18" t="str">
        <x:v>Review</x:v>
      </x:c>
      <x:c r="K36" s="18" t="str">
        <x:v>Review</x:v>
      </x:c>
      <x:c r="L36" s="18" t="str">
        <x:v>Pass</x:v>
      </x:c>
      <x:c r="M36" s="18" t="str">
        <x:v>Review</x:v>
      </x:c>
      <x:c r="N36" s="18" t="str">
        <x:v>Review</x:v>
      </x:c>
      <x:c r="O36" s="18" t="str">
        <x:v>Pass</x:v>
      </x:c>
      <x:c r="P36" s="18" t="str">
        <x:v>Pass</x:v>
      </x:c>
      <x:c r="Q36" s="18" t="str">
        <x:v>Review</x:v>
      </x:c>
      <x:c r="R36" s="18" t="str">
        <x:v>Review</x:v>
      </x:c>
      <x:c r="S36" s="18" t="str">
        <x:v>Pass</x:v>
      </x:c>
      <x:c r="T36" s="18" t="str">
        <x:v>Medium</x:v>
      </x:c>
      <x:c r="U36" s="18" t="str">
        <x:v>Fixed-fee service page</x:v>
      </x:c>
      <x:c r="V36" s="18" t="str">
        <x:v>Immigration page provides fixed-fee scope and exclusions; legal/regulatory page is strong on Legal Ombudsman and SRA routes.</x:v>
      </x:c>
      <x:c r="W36" s="18" t="str">
        <x:v>https://www.sydneymitchell.co.uk/immigration-fixed-fee/</x:v>
      </x:c>
      <x:c r="X36" s="18" t="str">
        <x:v>https://www.sydneymitchell.co.uk/legal-regulatory-information/</x:v>
      </x:c>
      <x:c r="Y36" s="18" t="str"/>
    </x:row>
    <x:row r="37">
      <x:c r="A37" s="18" t="str">
        <x:v>FBC Manby Bowdler</x:v>
      </x:c>
      <x:c r="B37" s="18" t="str">
        <x:v>Residential conveyancing</x:v>
      </x:c>
      <x:c r="C37" s="18" t="str">
        <x:v>Review</x:v>
      </x:c>
      <x:c r="D37" s="18" t="str">
        <x:v>Review</x:v>
      </x:c>
      <x:c r="E37" s="18" t="str">
        <x:v>Review</x:v>
      </x:c>
      <x:c r="F37" s="18" t="str">
        <x:v>Review</x:v>
      </x:c>
      <x:c r="G37" s="18" t="str">
        <x:v>Review</x:v>
      </x:c>
      <x:c r="H37" s="18" t="str">
        <x:v>Pass</x:v>
      </x:c>
      <x:c r="I37" s="18" t="str">
        <x:v>Pass</x:v>
      </x:c>
      <x:c r="J37" s="18" t="str">
        <x:v>Review</x:v>
      </x:c>
      <x:c r="K37" s="18" t="str">
        <x:v>Review</x:v>
      </x:c>
      <x:c r="L37" s="18" t="str">
        <x:v>Pass</x:v>
      </x:c>
      <x:c r="M37" s="18" t="str">
        <x:v>Pass</x:v>
      </x:c>
      <x:c r="N37" s="18" t="str">
        <x:v>Pass</x:v>
      </x:c>
      <x:c r="O37" s="18" t="str">
        <x:v>Pass</x:v>
      </x:c>
      <x:c r="P37" s="18" t="str">
        <x:v>Pass</x:v>
      </x:c>
      <x:c r="Q37" s="18" t="str">
        <x:v>Pass</x:v>
      </x:c>
      <x:c r="R37" s="18" t="str">
        <x:v>Pass</x:v>
      </x:c>
      <x:c r="S37" s="18" t="str">
        <x:v>Pass</x:v>
      </x:c>
      <x:c r="T37" s="18" t="str">
        <x:v>High</x:v>
      </x:c>
      <x:c r="U37" s="18" t="str">
        <x:v>Strong pricing/process page</x:v>
      </x:c>
      <x:c r="V37" s="18" t="str">
        <x:v>Conveyancing page has examples, VAT, disbursements, exclusions, process and timescale detail.</x:v>
      </x:c>
      <x:c r="W37" s="18" t="str">
        <x:v>https://www.fbcmb.co.uk/personal/conveyancing-pricing-processes/</x:v>
      </x:c>
      <x:c r="X37" s="18" t="str"/>
      <x:c r="Y37" s="18" t="str"/>
    </x:row>
    <x:row r="38">
      <x:c r="A38" s="18" t="str">
        <x:v>Higgs LLP</x:v>
      </x:c>
      <x:c r="B38" s="18" t="str">
        <x:v>Residential conveyancing</x:v>
      </x:c>
      <x:c r="C38" s="18" t="str">
        <x:v>Pass</x:v>
      </x:c>
      <x:c r="D38" s="18" t="str">
        <x:v>Review</x:v>
      </x:c>
      <x:c r="E38" s="18" t="str">
        <x:v>Pass</x:v>
      </x:c>
      <x:c r="F38" s="18" t="str">
        <x:v>Review</x:v>
      </x:c>
      <x:c r="G38" s="18" t="str">
        <x:v>Review</x:v>
      </x:c>
      <x:c r="H38" s="18" t="str">
        <x:v>Pass</x:v>
      </x:c>
      <x:c r="I38" s="18" t="str">
        <x:v>Review</x:v>
      </x:c>
      <x:c r="J38" s="18" t="str">
        <x:v>Review</x:v>
      </x:c>
      <x:c r="K38" s="18" t="str">
        <x:v>Review</x:v>
      </x:c>
      <x:c r="L38" s="18" t="str">
        <x:v>Pass</x:v>
      </x:c>
      <x:c r="M38" s="18" t="str">
        <x:v>Pass</x:v>
      </x:c>
      <x:c r="N38" s="18" t="str">
        <x:v>Review</x:v>
      </x:c>
      <x:c r="O38" s="18" t="str">
        <x:v>Pass</x:v>
      </x:c>
      <x:c r="P38" s="18" t="str">
        <x:v>Pass</x:v>
      </x:c>
      <x:c r="Q38" s="18" t="str">
        <x:v>Review</x:v>
      </x:c>
      <x:c r="R38" s="18" t="str">
        <x:v>Review</x:v>
      </x:c>
      <x:c r="S38" s="18" t="str">
        <x:v>Pass</x:v>
      </x:c>
      <x:c r="T38" s="18" t="str">
        <x:v>Medium</x:v>
      </x:c>
      <x:c r="U38" s="18" t="str">
        <x:v>PDF pricing + legal hub</x:v>
      </x:c>
      <x:c r="V38" s="18" t="str">
        <x:v>2026 conveyancing cost guide gives current figures; legal-notices hub exposes SRA number and complaints route.</x:v>
      </x:c>
      <x:c r="W38" s="18" t="str">
        <x:v>https://www.higgsllp.co.uk/media/3maery1k/conveyancing-cost-guide-2026.pdf</x:v>
      </x:c>
      <x:c r="X38" s="18" t="str">
        <x:v>https://www.higgsllp.co.uk/legal-notices/terms-of-business</x:v>
      </x:c>
      <x:c r="Y38" s="18" t="str">
        <x:v>https://www.higgsllp.co.uk/legal-notices</x:v>
      </x:c>
    </x:row>
    <x:row r="39">
      <x:c r="A39" s="18" t="str">
        <x:v>Shakespeare Martineau</x:v>
      </x:c>
      <x:c r="B39" s="18" t="str">
        <x:v>Employment / multiple</x:v>
      </x:c>
      <x:c r="C39" s="18" t="str">
        <x:v>Review</x:v>
      </x:c>
      <x:c r="D39" s="18" t="str">
        <x:v>Review</x:v>
      </x:c>
      <x:c r="E39" s="18" t="str">
        <x:v>Pass</x:v>
      </x:c>
      <x:c r="F39" s="18" t="str">
        <x:v>Pass</x:v>
      </x:c>
      <x:c r="G39" s="18" t="str">
        <x:v>Review</x:v>
      </x:c>
      <x:c r="H39" s="18" t="str">
        <x:v>Review</x:v>
      </x:c>
      <x:c r="I39" s="18" t="str">
        <x:v>Review</x:v>
      </x:c>
      <x:c r="J39" s="18" t="str">
        <x:v>Review</x:v>
      </x:c>
      <x:c r="K39" s="18" t="str">
        <x:v>Review</x:v>
      </x:c>
      <x:c r="L39" s="18" t="str">
        <x:v>Review</x:v>
      </x:c>
      <x:c r="M39" s="18" t="str">
        <x:v>Review</x:v>
      </x:c>
      <x:c r="N39" s="18" t="str">
        <x:v>Review</x:v>
      </x:c>
      <x:c r="O39" s="18" t="str">
        <x:v>Review</x:v>
      </x:c>
      <x:c r="P39" s="18" t="str">
        <x:v>Review</x:v>
      </x:c>
      <x:c r="Q39" s="18" t="str">
        <x:v>Review</x:v>
      </x:c>
      <x:c r="R39" s="18" t="str">
        <x:v>Review</x:v>
      </x:c>
      <x:c r="S39" s="18" t="str">
        <x:v>Review</x:v>
      </x:c>
      <x:c r="T39" s="18" t="str">
        <x:v>Medium</x:v>
      </x:c>
      <x:c r="U39" s="18" t="str">
        <x:v>Strong complaints, pricing needs service discovery</x:v>
      </x:c>
      <x:c r="V39" s="18" t="str">
        <x:v>Complaints route is clear; keep pricing rules conservative until service-specific pages are fully benchmarked.</x:v>
      </x:c>
      <x:c r="W39" s="18" t="str"/>
      <x:c r="X39" s="18" t="str">
        <x:v>https://www.shma.co.uk/feedback-complaints/</x:v>
      </x:c>
      <x:c r="Y39" s="18" t="str"/>
    </x:row>
    <x:row r="40">
      <x:c r="A40" s="18" t="str">
        <x:v>Nelsons</x:v>
      </x:c>
      <x:c r="B40" s="18" t="str">
        <x:v>Debt recovery / multiple</x:v>
      </x:c>
      <x:c r="C40" s="18" t="str">
        <x:v>Review</x:v>
      </x:c>
      <x:c r="D40" s="18" t="str">
        <x:v>Review</x:v>
      </x:c>
      <x:c r="E40" s="18" t="str">
        <x:v>Review</x:v>
      </x:c>
      <x:c r="F40" s="18" t="str">
        <x:v>Review</x:v>
      </x:c>
      <x:c r="G40" s="18" t="str">
        <x:v>Review</x:v>
      </x:c>
      <x:c r="H40" s="18" t="str">
        <x:v>Pass</x:v>
      </x:c>
      <x:c r="I40" s="18" t="str">
        <x:v>Pass</x:v>
      </x:c>
      <x:c r="J40" s="18" t="str">
        <x:v>Review</x:v>
      </x:c>
      <x:c r="K40" s="18" t="str">
        <x:v>Review</x:v>
      </x:c>
      <x:c r="L40" s="18" t="str">
        <x:v>Review</x:v>
      </x:c>
      <x:c r="M40" s="18" t="str">
        <x:v>Pass</x:v>
      </x:c>
      <x:c r="N40" s="18" t="str">
        <x:v>Review</x:v>
      </x:c>
      <x:c r="O40" s="18" t="str">
        <x:v>Pass</x:v>
      </x:c>
      <x:c r="P40" s="18" t="str">
        <x:v>Review</x:v>
      </x:c>
      <x:c r="Q40" s="18" t="str">
        <x:v>Review</x:v>
      </x:c>
      <x:c r="R40" s="18" t="str">
        <x:v>Pass</x:v>
      </x:c>
      <x:c r="S40" s="18" t="str">
        <x:v>Pass</x:v>
      </x:c>
      <x:c r="T40" s="18" t="str">
        <x:v>Medium</x:v>
      </x:c>
      <x:c r="U40" s="18" t="str">
        <x:v>Central fee page</x:v>
      </x:c>
      <x:c r="V40" s="18" t="str">
        <x:v>Our Fees page exposes key pricing and a debt-recovery example; service-specific detail needs deeper page review.</x:v>
      </x:c>
      <x:c r="W40" s="18" t="str">
        <x:v>https://www.nelsonslaw.co.uk/about-us/our-fees/</x:v>
      </x:c>
      <x:c r="X40" s="18" t="str"/>
      <x:c r="Y40" s="18" t="str"/>
    </x:row>
    <x:row r="41">
      <x:c r="A41" s="18" t="str">
        <x:v>Sills &amp; Betteridge</x:v>
      </x:c>
      <x:c r="B41" s="18" t="str">
        <x:v>Conveyancing / Debt</x:v>
      </x:c>
      <x:c r="C41" s="18" t="str">
        <x:v>Review</x:v>
      </x:c>
      <x:c r="D41" s="18" t="str">
        <x:v>Review</x:v>
      </x:c>
      <x:c r="E41" s="18" t="str">
        <x:v>Pass</x:v>
      </x:c>
      <x:c r="F41" s="18" t="str">
        <x:v>Review</x:v>
      </x:c>
      <x:c r="G41" s="18" t="str">
        <x:v>Review</x:v>
      </x:c>
      <x:c r="H41" s="18" t="str">
        <x:v>Pass</x:v>
      </x:c>
      <x:c r="I41" s="18" t="str">
        <x:v>Pass</x:v>
      </x:c>
      <x:c r="J41" s="18" t="str">
        <x:v>Review</x:v>
      </x:c>
      <x:c r="K41" s="18" t="str">
        <x:v>Review</x:v>
      </x:c>
      <x:c r="L41" s="18" t="str">
        <x:v>Pass</x:v>
      </x:c>
      <x:c r="M41" s="18" t="str">
        <x:v>Pass</x:v>
      </x:c>
      <x:c r="N41" s="18" t="str">
        <x:v>Review</x:v>
      </x:c>
      <x:c r="O41" s="18" t="str">
        <x:v>Pass</x:v>
      </x:c>
      <x:c r="P41" s="18" t="str">
        <x:v>Review</x:v>
      </x:c>
      <x:c r="Q41" s="18" t="str">
        <x:v>Review</x:v>
      </x:c>
      <x:c r="R41" s="18" t="str">
        <x:v>Pass</x:v>
      </x:c>
      <x:c r="S41" s="18" t="str">
        <x:v>Pass</x:v>
      </x:c>
      <x:c r="T41" s="18" t="str">
        <x:v>High</x:v>
      </x:c>
      <x:c r="U41" s="18" t="str">
        <x:v>Strong service pricing</x:v>
      </x:c>
      <x:c r="V41" s="18" t="str">
        <x:v>Residential property and debt-recovery pages show fee ranges/rates, VAT, disbursements and timescales.</x:v>
      </x:c>
      <x:c r="W41" s="18" t="str">
        <x:v>https://www.sillslegal.co.uk/services-for-individuals/residential-property/fees</x:v>
      </x:c>
      <x:c r="X41" s="18" t="str">
        <x:v>https://www.sillslegal.co.uk/legal/complaints</x:v>
      </x:c>
      <x:c r="Y41" s="18" t="str"/>
    </x:row>
    <x:row r="42">
      <x:c r="A42" s="18" t="str">
        <x:v>Ashtons Legal</x:v>
      </x:c>
      <x:c r="B42" s="18" t="str">
        <x:v>Conveyancing / Probate / Employment / Debt / Licensing</x:v>
      </x:c>
      <x:c r="C42" s="18" t="str">
        <x:v>Review</x:v>
      </x:c>
      <x:c r="D42" s="18" t="str">
        <x:v>Review</x:v>
      </x:c>
      <x:c r="E42" s="18" t="str">
        <x:v>Pass</x:v>
      </x:c>
      <x:c r="F42" s="18" t="str">
        <x:v>Pass</x:v>
      </x:c>
      <x:c r="G42" s="18" t="str">
        <x:v>Pass</x:v>
      </x:c>
      <x:c r="H42" s="18" t="str">
        <x:v>Pass</x:v>
      </x:c>
      <x:c r="I42" s="18" t="str">
        <x:v>Pass</x:v>
      </x:c>
      <x:c r="J42" s="18" t="str">
        <x:v>Review</x:v>
      </x:c>
      <x:c r="K42" s="18" t="str">
        <x:v>Review</x:v>
      </x:c>
      <x:c r="L42" s="18" t="str">
        <x:v>Pass</x:v>
      </x:c>
      <x:c r="M42" s="18" t="str">
        <x:v>Pass</x:v>
      </x:c>
      <x:c r="N42" s="18" t="str">
        <x:v>Review</x:v>
      </x:c>
      <x:c r="O42" s="18" t="str">
        <x:v>Pass</x:v>
      </x:c>
      <x:c r="P42" s="18" t="str">
        <x:v>Pass</x:v>
      </x:c>
      <x:c r="Q42" s="18" t="str">
        <x:v>Pass</x:v>
      </x:c>
      <x:c r="R42" s="18" t="str">
        <x:v>Review</x:v>
      </x:c>
      <x:c r="S42" s="18" t="str">
        <x:v>Pass</x:v>
      </x:c>
      <x:c r="T42" s="18" t="str">
        <x:v>High</x:v>
      </x:c>
      <x:c r="U42" s="18" t="str">
        <x:v>Excellent repaired control</x:v>
      </x:c>
      <x:c r="V42" s="18" t="str">
        <x:v>Pricing hub now explicitly covers the SRA-required service set; complaints page clearly covers Legal Ombudsman and SRA.</x:v>
      </x:c>
      <x:c r="W42" s="18" t="str">
        <x:v>https://www.ashtonslegal.co.uk/pricing/</x:v>
      </x:c>
      <x:c r="X42" s="18" t="str">
        <x:v>https://www.ashtonslegal.co.uk/about-us/complaints-policy/</x:v>
      </x:c>
      <x:c r="Y42" s="18" t="str"/>
    </x:row>
    <x:row r="43">
      <x:c r="A43" s="18" t="str">
        <x:v>Tees Law</x:v>
      </x:c>
      <x:c r="B43" s="18" t="str">
        <x:v>Debt / other</x:v>
      </x:c>
      <x:c r="C43" s="18" t="str">
        <x:v>Review</x:v>
      </x:c>
      <x:c r="D43" s="18" t="str">
        <x:v>Review</x:v>
      </x:c>
      <x:c r="E43" s="18" t="str">
        <x:v>Review</x:v>
      </x:c>
      <x:c r="F43" s="18" t="str">
        <x:v>Review</x:v>
      </x:c>
      <x:c r="G43" s="18" t="str">
        <x:v>Review</x:v>
      </x:c>
      <x:c r="H43" s="18" t="str">
        <x:v>Pass</x:v>
      </x:c>
      <x:c r="I43" s="18" t="str">
        <x:v>Pass</x:v>
      </x:c>
      <x:c r="J43" s="18" t="str">
        <x:v>Review</x:v>
      </x:c>
      <x:c r="K43" s="18" t="str">
        <x:v>Review</x:v>
      </x:c>
      <x:c r="L43" s="18" t="str">
        <x:v>Review</x:v>
      </x:c>
      <x:c r="M43" s="18" t="str">
        <x:v>Review</x:v>
      </x:c>
      <x:c r="N43" s="18" t="str">
        <x:v>Review</x:v>
      </x:c>
      <x:c r="O43" s="18" t="str">
        <x:v>Pass</x:v>
      </x:c>
      <x:c r="P43" s="18" t="str">
        <x:v>Review</x:v>
      </x:c>
      <x:c r="Q43" s="18" t="str">
        <x:v>Review</x:v>
      </x:c>
      <x:c r="R43" s="18" t="str">
        <x:v>Review</x:v>
      </x:c>
      <x:c r="S43" s="18" t="str">
        <x:v>Pass</x:v>
      </x:c>
      <x:c r="T43" s="18" t="str">
        <x:v>Medium</x:v>
      </x:c>
      <x:c r="U43" s="18" t="str">
        <x:v>Detailed service pricing</x:v>
      </x:c>
      <x:c r="V43" s="18" t="str">
        <x:v>Service-specific pricing exists; universal complaints/SRA signals need fuller benchmark.</x:v>
      </x:c>
      <x:c r="W43" s="18" t="str">
        <x:v>https://teeslaw.com/legal/pricing/</x:v>
      </x:c>
      <x:c r="X43" s="18" t="str"/>
      <x:c r="Y43" s="18" t="str"/>
    </x:row>
    <x:row r="44">
      <x:c r="A44" s="18" t="str">
        <x:v>Birketts</x:v>
      </x:c>
      <x:c r="B44" s="18" t="str">
        <x:v>Conveyancing / Probate / Employment / Debt / Immigration / Licensing</x:v>
      </x:c>
      <x:c r="C44" s="18" t="str">
        <x:v>Review</x:v>
      </x:c>
      <x:c r="D44" s="18" t="str">
        <x:v>Review</x:v>
      </x:c>
      <x:c r="E44" s="18" t="str">
        <x:v>Pass</x:v>
      </x:c>
      <x:c r="F44" s="18" t="str">
        <x:v>Pass</x:v>
      </x:c>
      <x:c r="G44" s="18" t="str">
        <x:v>Pass</x:v>
      </x:c>
      <x:c r="H44" s="18" t="str">
        <x:v>Pass</x:v>
      </x:c>
      <x:c r="I44" s="18" t="str">
        <x:v>Pass</x:v>
      </x:c>
      <x:c r="J44" s="18" t="str">
        <x:v>Pass</x:v>
      </x:c>
      <x:c r="K44" s="18" t="str">
        <x:v>Review</x:v>
      </x:c>
      <x:c r="L44" s="18" t="str">
        <x:v>Pass</x:v>
      </x:c>
      <x:c r="M44" s="18" t="str">
        <x:v>Pass</x:v>
      </x:c>
      <x:c r="N44" s="18" t="str">
        <x:v>Pass</x:v>
      </x:c>
      <x:c r="O44" s="18" t="str">
        <x:v>Pass</x:v>
      </x:c>
      <x:c r="P44" s="18" t="str">
        <x:v>Pass</x:v>
      </x:c>
      <x:c r="Q44" s="18" t="str">
        <x:v>Review</x:v>
      </x:c>
      <x:c r="R44" s="18" t="str">
        <x:v>Review</x:v>
      </x:c>
      <x:c r="S44" s="18" t="str">
        <x:v>Pass</x:v>
      </x:c>
      <x:c r="T44" s="18" t="str">
        <x:v>High</x:v>
      </x:c>
      <x:c r="U44" s="18" t="str">
        <x:v>Replacement + excellent control</x:v>
      </x:c>
      <x:c r="V44" s="18" t="str">
        <x:v>Replaces Birkett Long (closed July 2026). Birketts has an extensive multi-service fees hub and current complaints policy.</x:v>
      </x:c>
      <x:c r="W44" s="18" t="str">
        <x:v>https://www.birketts.co.uk/fees/</x:v>
      </x:c>
      <x:c r="X44" s="18" t="str">
        <x:v>https://www.birketts.co.uk/compliance/complaints-policy/</x:v>
      </x:c>
      <x:c r="Y44" s="18" t="str"/>
    </x:row>
    <x:row r="45">
      <x:c r="A45" s="18" t="str">
        <x:v>Leadenhall Law Group</x:v>
      </x:c>
      <x:c r="B45" s="18" t="str">
        <x:v>Probate / Conveyancing</x:v>
      </x:c>
      <x:c r="C45" s="18" t="str">
        <x:v>Pass</x:v>
      </x:c>
      <x:c r="D45" s="18" t="str">
        <x:v>Review</x:v>
      </x:c>
      <x:c r="E45" s="18" t="str">
        <x:v>Review</x:v>
      </x:c>
      <x:c r="F45" s="18" t="str">
        <x:v>Review</x:v>
      </x:c>
      <x:c r="G45" s="18" t="str">
        <x:v>Review</x:v>
      </x:c>
      <x:c r="H45" s="18" t="str">
        <x:v>Pass</x:v>
      </x:c>
      <x:c r="I45" s="18" t="str">
        <x:v>Pass</x:v>
      </x:c>
      <x:c r="J45" s="18" t="str">
        <x:v>Review</x:v>
      </x:c>
      <x:c r="K45" s="18" t="str">
        <x:v>Review</x:v>
      </x:c>
      <x:c r="L45" s="18" t="str">
        <x:v>Pass</x:v>
      </x:c>
      <x:c r="M45" s="18" t="str">
        <x:v>Pass</x:v>
      </x:c>
      <x:c r="N45" s="18" t="str">
        <x:v>Review</x:v>
      </x:c>
      <x:c r="O45" s="18" t="str">
        <x:v>Pass</x:v>
      </x:c>
      <x:c r="P45" s="18" t="str">
        <x:v>Pass</x:v>
      </x:c>
      <x:c r="Q45" s="18" t="str">
        <x:v>Review</x:v>
      </x:c>
      <x:c r="R45" s="18" t="str">
        <x:v>Review</x:v>
      </x:c>
      <x:c r="S45" s="18" t="str">
        <x:v>Pass</x:v>
      </x:c>
      <x:c r="T45" s="18" t="str">
        <x:v>Medium</x:v>
      </x:c>
      <x:c r="U45" s="18" t="str">
        <x:v>Multiple SRA-number edge case</x:v>
      </x:c>
      <x:c r="V45" s="18" t="str">
        <x:v>Pages publish different SRA numbers by office; useful test for multi-office regulatory facts.</x:v>
      </x:c>
      <x:c r="W45" s="18" t="str">
        <x:v>https://leadenhalllawgroup.co.uk/wills-trust-probate/</x:v>
      </x:c>
      <x:c r="X45" s="18" t="str"/>
      <x:c r="Y45" s="18" t="str">
        <x:v>https://leadenhalllawgroup.co.uk/</x:v>
      </x:c>
    </x:row>
    <x:row r="46">
      <x:c r="A46" s="18" t="str">
        <x:v>JCP Solicitors</x:v>
      </x:c>
      <x:c r="B46" s="18" t="str">
        <x:v>Probate / Conveyancing</x:v>
      </x:c>
      <x:c r="C46" s="18" t="str">
        <x:v>Review</x:v>
      </x:c>
      <x:c r="D46" s="18" t="str">
        <x:v>Review</x:v>
      </x:c>
      <x:c r="E46" s="18" t="str">
        <x:v>Pass</x:v>
      </x:c>
      <x:c r="F46" s="18" t="str">
        <x:v>Pass</x:v>
      </x:c>
      <x:c r="G46" s="18" t="str">
        <x:v>Pass</x:v>
      </x:c>
      <x:c r="H46" s="18" t="str">
        <x:v>Pass</x:v>
      </x:c>
      <x:c r="I46" s="18" t="str">
        <x:v>Pass</x:v>
      </x:c>
      <x:c r="J46" s="18" t="str">
        <x:v>Review</x:v>
      </x:c>
      <x:c r="K46" s="18" t="str">
        <x:v>Review</x:v>
      </x:c>
      <x:c r="L46" s="18" t="str">
        <x:v>Review</x:v>
      </x:c>
      <x:c r="M46" s="18" t="str">
        <x:v>Review</x:v>
      </x:c>
      <x:c r="N46" s="18" t="str">
        <x:v>Review</x:v>
      </x:c>
      <x:c r="O46" s="18" t="str">
        <x:v>Pass</x:v>
      </x:c>
      <x:c r="P46" s="18" t="str">
        <x:v>Review</x:v>
      </x:c>
      <x:c r="Q46" s="18" t="str">
        <x:v>Review</x:v>
      </x:c>
      <x:c r="R46" s="18" t="str">
        <x:v>Pass</x:v>
      </x:c>
      <x:c r="S46" s="18" t="str">
        <x:v>Pass</x:v>
      </x:c>
      <x:c r="T46" s="18" t="str">
        <x:v>Medium</x:v>
      </x:c>
      <x:c r="U46" s="18" t="str">
        <x:v>Good service + complaints pair</x:v>
      </x:c>
      <x:c r="V46" s="18" t="str">
        <x:v>Probate pricing/timescale page plus complaints page with Legal Ombudsman and SRA route.</x:v>
      </x:c>
      <x:c r="W46" s="18" t="str">
        <x:v>https://www.jcpsolicitors.co.uk/services/individual/wills-probate/probate-solicitors/probate-prices-and-timescales/</x:v>
      </x:c>
      <x:c r="X46" s="18" t="str">
        <x:v>https://online.jcpsolicitors.co.uk/site/help/complaints/</x:v>
      </x:c>
      <x:c r="Y46" s="18" t="str"/>
    </x:row>
    <x:row r="47">
      <x:c r="A47" s="18" t="str">
        <x:v>Redkite Solicitors</x:v>
      </x:c>
      <x:c r="B47" s="18" t="str">
        <x:v>Probate / Conveyancing / Employment / Debt</x:v>
      </x:c>
      <x:c r="C47" s="18" t="str">
        <x:v>Pass</x:v>
      </x:c>
      <x:c r="D47" s="18" t="str">
        <x:v>Review</x:v>
      </x:c>
      <x:c r="E47" s="18" t="str">
        <x:v>Review</x:v>
      </x:c>
      <x:c r="F47" s="18" t="str">
        <x:v>Review</x:v>
      </x:c>
      <x:c r="G47" s="18" t="str">
        <x:v>Review</x:v>
      </x:c>
      <x:c r="H47" s="18" t="str">
        <x:v>Pass</x:v>
      </x:c>
      <x:c r="I47" s="18" t="str">
        <x:v>Pass</x:v>
      </x:c>
      <x:c r="J47" s="18" t="str">
        <x:v>Pass</x:v>
      </x:c>
      <x:c r="K47" s="18" t="str">
        <x:v>Review</x:v>
      </x:c>
      <x:c r="L47" s="18" t="str">
        <x:v>Pass</x:v>
      </x:c>
      <x:c r="M47" s="18" t="str">
        <x:v>Pass</x:v>
      </x:c>
      <x:c r="N47" s="18" t="str">
        <x:v>Pass</x:v>
      </x:c>
      <x:c r="O47" s="18" t="str">
        <x:v>Pass</x:v>
      </x:c>
      <x:c r="P47" s="18" t="str">
        <x:v>Pass</x:v>
      </x:c>
      <x:c r="Q47" s="18" t="str">
        <x:v>Review</x:v>
      </x:c>
      <x:c r="R47" s="18" t="str">
        <x:v>Pass</x:v>
      </x:c>
      <x:c r="S47" s="18" t="str">
        <x:v>Pass</x:v>
      </x:c>
      <x:c r="T47" s="18" t="str">
        <x:v>High</x:v>
      </x:c>
      <x:c r="U47" s="18" t="str">
        <x:v>Excellent structured pricing</x:v>
      </x:c>
      <x:c r="V47" s="18" t="str">
        <x:v>Our Costs hub and probate guide are highly machine-readable with roles, hourly rates, VAT, disbursements and scope.</x:v>
      </x:c>
      <x:c r="W47" s="18" t="str">
        <x:v>https://www.redkitesolicitors.co.uk/our-costs/</x:v>
      </x:c>
      <x:c r="X47" s="18" t="str"/>
      <x:c r="Y47" s="18" t="str">
        <x:v>https://www.sra.org.uk/consumers/register/organisation/?sraNumber=557521</x:v>
      </x:c>
    </x:row>
    <x:row r="48">
      <x:c r="A48" s="18" t="str">
        <x:v>Watkins &amp; Gunn</x:v>
      </x:c>
      <x:c r="B48" s="18" t="str">
        <x:v>Conveyancing / Employment</x:v>
      </x:c>
      <x:c r="C48" s="18" t="str">
        <x:v>Pass</x:v>
      </x:c>
      <x:c r="D48" s="18" t="str">
        <x:v>Review</x:v>
      </x:c>
      <x:c r="E48" s="18" t="str">
        <x:v>Pass</x:v>
      </x:c>
      <x:c r="F48" s="18" t="str">
        <x:v>Pass</x:v>
      </x:c>
      <x:c r="G48" s="18" t="str">
        <x:v>Review</x:v>
      </x:c>
      <x:c r="H48" s="18" t="str">
        <x:v>Pass</x:v>
      </x:c>
      <x:c r="I48" s="18" t="str">
        <x:v>Pass</x:v>
      </x:c>
      <x:c r="J48" s="18" t="str">
        <x:v>Review</x:v>
      </x:c>
      <x:c r="K48" s="18" t="str">
        <x:v>Review</x:v>
      </x:c>
      <x:c r="L48" s="18" t="str">
        <x:v>Pass</x:v>
      </x:c>
      <x:c r="M48" s="18" t="str">
        <x:v>Pass</x:v>
      </x:c>
      <x:c r="N48" s="18" t="str">
        <x:v>Pass</x:v>
      </x:c>
      <x:c r="O48" s="18" t="str">
        <x:v>Pass</x:v>
      </x:c>
      <x:c r="P48" s="18" t="str">
        <x:v>Review</x:v>
      </x:c>
      <x:c r="Q48" s="18" t="str">
        <x:v>Review</x:v>
      </x:c>
      <x:c r="R48" s="18" t="str">
        <x:v>Review</x:v>
      </x:c>
      <x:c r="S48" s="18" t="str">
        <x:v>Pass</x:v>
      </x:c>
      <x:c r="T48" s="18" t="str">
        <x:v>High</x:v>
      </x:c>
      <x:c r="U48" s="18" t="str">
        <x:v>Strong current control</x:v>
      </x:c>
      <x:c r="V48" s="18" t="str">
        <x:v>Fee pages, SRA footer and complaints policy are easy to locate; quote tool adds an additional path.</x:v>
      </x:c>
      <x:c r="W48" s="18" t="str">
        <x:v>https://www.watkinsandgunn.co.uk/about-us/our-fees/property-purchase-freehold-leasehold/</x:v>
      </x:c>
      <x:c r="X48" s="18" t="str">
        <x:v>https://www.watkinsandgunn.co.uk/complaints-policy/</x:v>
      </x:c>
      <x:c r="Y48" s="18" t="str">
        <x:v>https://www.watkinsandgunn.co.uk/services/employment/</x:v>
      </x:c>
    </x:row>
    <x:row r="49">
      <x:c r="A49" s="18" t="str">
        <x:v>Bishopsgate Law</x:v>
      </x:c>
      <x:c r="B49" s="18" t="str">
        <x:v>Conveyancing</x:v>
      </x:c>
      <x:c r="C49" s="18" t="str">
        <x:v>Pass</x:v>
      </x:c>
      <x:c r="D49" s="18" t="str">
        <x:v>Pass</x:v>
      </x:c>
      <x:c r="E49" s="18" t="str">
        <x:v>Pass</x:v>
      </x:c>
      <x:c r="F49" s="18" t="str">
        <x:v>Review</x:v>
      </x:c>
      <x:c r="G49" s="18" t="str">
        <x:v>Review</x:v>
      </x:c>
      <x:c r="H49" s="18" t="str">
        <x:v>Pass</x:v>
      </x:c>
      <x:c r="I49" s="18" t="str">
        <x:v>Review</x:v>
      </x:c>
      <x:c r="J49" s="18" t="str">
        <x:v>Review</x:v>
      </x:c>
      <x:c r="K49" s="18" t="str">
        <x:v>Review</x:v>
      </x:c>
      <x:c r="L49" s="18" t="str">
        <x:v>Review</x:v>
      </x:c>
      <x:c r="M49" s="18" t="str">
        <x:v>Review</x:v>
      </x:c>
      <x:c r="N49" s="18" t="str">
        <x:v>Review</x:v>
      </x:c>
      <x:c r="O49" s="18" t="str">
        <x:v>Pass</x:v>
      </x:c>
      <x:c r="P49" s="18" t="str">
        <x:v>Review</x:v>
      </x:c>
      <x:c r="Q49" s="18" t="str">
        <x:v>Review</x:v>
      </x:c>
      <x:c r="R49" s="18" t="str">
        <x:v>Review</x:v>
      </x:c>
      <x:c r="S49" s="18" t="str">
        <x:v>Pass</x:v>
      </x:c>
      <x:c r="T49" s="18" t="str">
        <x:v>Medium</x:v>
      </x:c>
      <x:c r="U49" s="18" t="str">
        <x:v>Quote-generator + explicit SRA badge</x:v>
      </x:c>
      <x:c r="V49" s="18" t="str">
        <x:v>Website explicitly exposes SRA number, digital badge, fees and complaints links; conveyancing price is primarily quote-led.</x:v>
      </x:c>
      <x:c r="W49" s="18" t="str">
        <x:v>https://www.bishopsgatelaw.com/conveyancing-solicitors.html</x:v>
      </x:c>
      <x:c r="X49" s="18" t="str"/>
      <x:c r="Y49" s="18" t="str">
        <x:v>https://www.bishopsgatelaw.com/</x:v>
      </x:c>
    </x:row>
    <x:row r="50">
      <x:c r="A50" s="18" t="str">
        <x:v>Streathers Solicitors</x:v>
      </x:c>
      <x:c r="B50" s="18" t="str">
        <x:v>Probate / Conveyancing</x:v>
      </x:c>
      <x:c r="C50" s="18" t="str">
        <x:v>Review</x:v>
      </x:c>
      <x:c r="D50" s="18" t="str">
        <x:v>Review</x:v>
      </x:c>
      <x:c r="E50" s="18" t="str">
        <x:v>Pass</x:v>
      </x:c>
      <x:c r="F50" s="18" t="str">
        <x:v>Review</x:v>
      </x:c>
      <x:c r="G50" s="18" t="str">
        <x:v>Pass</x:v>
      </x:c>
      <x:c r="H50" s="18" t="str">
        <x:v>Pass</x:v>
      </x:c>
      <x:c r="I50" s="18" t="str">
        <x:v>Pass</x:v>
      </x:c>
      <x:c r="J50" s="18" t="str">
        <x:v>Review</x:v>
      </x:c>
      <x:c r="K50" s="18" t="str">
        <x:v>Review</x:v>
      </x:c>
      <x:c r="L50" s="18" t="str">
        <x:v>Pass</x:v>
      </x:c>
      <x:c r="M50" s="18" t="str">
        <x:v>Pass</x:v>
      </x:c>
      <x:c r="N50" s="18" t="str">
        <x:v>Review</x:v>
      </x:c>
      <x:c r="O50" s="18" t="str">
        <x:v>Pass</x:v>
      </x:c>
      <x:c r="P50" s="18" t="str">
        <x:v>Pass</x:v>
      </x:c>
      <x:c r="Q50" s="18" t="str">
        <x:v>Review</x:v>
      </x:c>
      <x:c r="R50" s="18" t="str">
        <x:v>Pass</x:v>
      </x:c>
      <x:c r="S50" s="18" t="str">
        <x:v>Pass</x:v>
      </x:c>
      <x:c r="T50" s="18" t="str">
        <x:v>High</x:v>
      </x:c>
      <x:c r="U50" s="18" t="str">
        <x:v>Strong pricing + complaints</x:v>
      </x:c>
      <x:c r="V50" s="18" t="str">
        <x:v>Probate/conveyancing pages publish fee ranges, VAT, disbursements, inclusions/exclusions and timescales; complaints page has SRA conduct route.</x:v>
      </x:c>
      <x:c r="W50" s="18" t="str">
        <x:v>https://www.streathers.co.uk/probate-solicitors/probate-fees/</x:v>
      </x:c>
      <x:c r="X50" s="18" t="str">
        <x:v>https://www.streathers.co.uk/help/complaints-policy/</x:v>
      </x:c>
      <x:c r="Y50" s="18" t="str"/>
    </x:row>
    <x:row r="51">
      <x:c r="A51" s="18" t="str">
        <x:v>Russell-Cooke</x:v>
      </x:c>
      <x:c r="B51" s="18" t="str">
        <x:v>Residential conveyancing</x:v>
      </x:c>
      <x:c r="C51" s="18" t="str">
        <x:v>Pass</x:v>
      </x:c>
      <x:c r="D51" s="18" t="str">
        <x:v>Pass</x:v>
      </x:c>
      <x:c r="E51" s="18" t="str">
        <x:v>Pass</x:v>
      </x:c>
      <x:c r="F51" s="18" t="str">
        <x:v>Pass</x:v>
      </x:c>
      <x:c r="G51" s="18" t="str">
        <x:v>Pass</x:v>
      </x:c>
      <x:c r="H51" s="18" t="str">
        <x:v>Pass</x:v>
      </x:c>
      <x:c r="I51" s="18" t="str">
        <x:v>Pass</x:v>
      </x:c>
      <x:c r="J51" s="18" t="str">
        <x:v>Review</x:v>
      </x:c>
      <x:c r="K51" s="18" t="str">
        <x:v>Review</x:v>
      </x:c>
      <x:c r="L51" s="18" t="str">
        <x:v>Pass</x:v>
      </x:c>
      <x:c r="M51" s="18" t="str">
        <x:v>Pass</x:v>
      </x:c>
      <x:c r="N51" s="18" t="str">
        <x:v>Review</x:v>
      </x:c>
      <x:c r="O51" s="18" t="str">
        <x:v>Pass</x:v>
      </x:c>
      <x:c r="P51" s="18" t="str">
        <x:v>Pass</x:v>
      </x:c>
      <x:c r="Q51" s="18" t="str">
        <x:v>Pass</x:v>
      </x:c>
      <x:c r="R51" s="18" t="str">
        <x:v>Pass</x:v>
      </x:c>
      <x:c r="S51" s="18" t="str">
        <x:v>Pass</x:v>
      </x:c>
      <x:c r="T51" s="18" t="str">
        <x:v>High</x:v>
      </x:c>
      <x:c r="U51" s="18" t="str">
        <x:v>Excellent positive control</x:v>
      </x:c>
      <x:c r="V51" s="18" t="str">
        <x:v>Residential charging page is very detailed; footer explicitly includes SRA digital badge and registration number; legal page covers Ombudsman and SRA.</x:v>
      </x:c>
      <x:c r="W51" s="18" t="str">
        <x:v>https://www.russell-cooke.co.uk/charging-information/residential-property-charging-information</x:v>
      </x:c>
      <x:c r="X51" s="18" t="str">
        <x:v>https://www.russell-cooke.co.uk/russell-cooke-policies/legal-and-regulatory-information</x:v>
      </x:c>
      <x:c r="Y51" s="18" t="str">
        <x:v>https://www.russell-cooke.co.uk/</x:v>
      </x:c>
    </x:row>
  </x:sheetData>
  <x:conditionalFormatting sqref="C2:C51">
    <x:cfRule type="expression" dxfId="0" priority="1">
      <x:formula>C2="Pass"</x:formula>
    </x:cfRule>
    <x:cfRule type="expression" dxfId="1" priority="2">
      <x:formula>C2="Review"</x:formula>
    </x:cfRule>
    <x:cfRule type="expression" dxfId="2" priority="3">
      <x:formula>C2="Unknown"</x:formula>
    </x:cfRule>
    <x:cfRule type="expression" dxfId="3" priority="4">
      <x:formula>C2="N/A"</x:formula>
    </x:cfRule>
  </x:conditionalFormatting>
  <x:conditionalFormatting sqref="D2:D51">
    <x:cfRule type="expression" dxfId="4" priority="5">
      <x:formula>D2="Pass"</x:formula>
    </x:cfRule>
    <x:cfRule type="expression" dxfId="5" priority="6">
      <x:formula>D2="Review"</x:formula>
    </x:cfRule>
    <x:cfRule type="expression" dxfId="6" priority="7">
      <x:formula>D2="Unknown"</x:formula>
    </x:cfRule>
    <x:cfRule type="expression" dxfId="7" priority="8">
      <x:formula>D2="N/A"</x:formula>
    </x:cfRule>
  </x:conditionalFormatting>
  <x:conditionalFormatting sqref="E2:E51">
    <x:cfRule type="expression" dxfId="8" priority="9">
      <x:formula>E2="Pass"</x:formula>
    </x:cfRule>
    <x:cfRule type="expression" dxfId="9" priority="10">
      <x:formula>E2="Review"</x:formula>
    </x:cfRule>
    <x:cfRule type="expression" dxfId="10" priority="11">
      <x:formula>E2="Unknown"</x:formula>
    </x:cfRule>
    <x:cfRule type="expression" dxfId="11" priority="12">
      <x:formula>E2="N/A"</x:formula>
    </x:cfRule>
  </x:conditionalFormatting>
  <x:conditionalFormatting sqref="F2:F51">
    <x:cfRule type="expression" dxfId="12" priority="13">
      <x:formula>F2="Pass"</x:formula>
    </x:cfRule>
    <x:cfRule type="expression" dxfId="13" priority="14">
      <x:formula>F2="Review"</x:formula>
    </x:cfRule>
    <x:cfRule type="expression" dxfId="14" priority="15">
      <x:formula>F2="Unknown"</x:formula>
    </x:cfRule>
    <x:cfRule type="expression" dxfId="15" priority="16">
      <x:formula>F2="N/A"</x:formula>
    </x:cfRule>
  </x:conditionalFormatting>
  <x:conditionalFormatting sqref="G2:G51">
    <x:cfRule type="expression" dxfId="16" priority="17">
      <x:formula>G2="Pass"</x:formula>
    </x:cfRule>
    <x:cfRule type="expression" dxfId="17" priority="18">
      <x:formula>G2="Review"</x:formula>
    </x:cfRule>
    <x:cfRule type="expression" dxfId="18" priority="19">
      <x:formula>G2="Unknown"</x:formula>
    </x:cfRule>
    <x:cfRule type="expression" dxfId="19" priority="20">
      <x:formula>G2="N/A"</x:formula>
    </x:cfRule>
  </x:conditionalFormatting>
  <x:conditionalFormatting sqref="H2:H51">
    <x:cfRule type="expression" dxfId="20" priority="21">
      <x:formula>H2="Pass"</x:formula>
    </x:cfRule>
    <x:cfRule type="expression" dxfId="21" priority="22">
      <x:formula>H2="Review"</x:formula>
    </x:cfRule>
    <x:cfRule type="expression" dxfId="22" priority="23">
      <x:formula>H2="Unknown"</x:formula>
    </x:cfRule>
    <x:cfRule type="expression" dxfId="23" priority="24">
      <x:formula>H2="N/A"</x:formula>
    </x:cfRule>
  </x:conditionalFormatting>
  <x:conditionalFormatting sqref="I2:I51">
    <x:cfRule type="expression" dxfId="24" priority="25">
      <x:formula>I2="Pass"</x:formula>
    </x:cfRule>
    <x:cfRule type="expression" dxfId="25" priority="26">
      <x:formula>I2="Review"</x:formula>
    </x:cfRule>
    <x:cfRule type="expression" dxfId="26" priority="27">
      <x:formula>I2="Unknown"</x:formula>
    </x:cfRule>
    <x:cfRule type="expression" dxfId="27" priority="28">
      <x:formula>I2="N/A"</x:formula>
    </x:cfRule>
  </x:conditionalFormatting>
  <x:conditionalFormatting sqref="J2:J51">
    <x:cfRule type="expression" dxfId="28" priority="29">
      <x:formula>J2="Pass"</x:formula>
    </x:cfRule>
    <x:cfRule type="expression" dxfId="29" priority="30">
      <x:formula>J2="Review"</x:formula>
    </x:cfRule>
    <x:cfRule type="expression" dxfId="30" priority="31">
      <x:formula>J2="Unknown"</x:formula>
    </x:cfRule>
    <x:cfRule type="expression" dxfId="31" priority="32">
      <x:formula>J2="N/A"</x:formula>
    </x:cfRule>
  </x:conditionalFormatting>
  <x:conditionalFormatting sqref="K2:K51">
    <x:cfRule type="expression" dxfId="32" priority="33">
      <x:formula>K2="Pass"</x:formula>
    </x:cfRule>
    <x:cfRule type="expression" dxfId="33" priority="34">
      <x:formula>K2="Review"</x:formula>
    </x:cfRule>
    <x:cfRule type="expression" dxfId="34" priority="35">
      <x:formula>K2="Unknown"</x:formula>
    </x:cfRule>
    <x:cfRule type="expression" dxfId="35" priority="36">
      <x:formula>K2="N/A"</x:formula>
    </x:cfRule>
  </x:conditionalFormatting>
  <x:conditionalFormatting sqref="L2:L51">
    <x:cfRule type="expression" dxfId="36" priority="37">
      <x:formula>L2="Pass"</x:formula>
    </x:cfRule>
    <x:cfRule type="expression" dxfId="37" priority="38">
      <x:formula>L2="Review"</x:formula>
    </x:cfRule>
    <x:cfRule type="expression" dxfId="38" priority="39">
      <x:formula>L2="Unknown"</x:formula>
    </x:cfRule>
    <x:cfRule type="expression" dxfId="39" priority="40">
      <x:formula>L2="N/A"</x:formula>
    </x:cfRule>
  </x:conditionalFormatting>
  <x:conditionalFormatting sqref="M2:M51">
    <x:cfRule type="expression" dxfId="40" priority="41">
      <x:formula>M2="Pass"</x:formula>
    </x:cfRule>
    <x:cfRule type="expression" dxfId="41" priority="42">
      <x:formula>M2="Review"</x:formula>
    </x:cfRule>
    <x:cfRule type="expression" dxfId="42" priority="43">
      <x:formula>M2="Unknown"</x:formula>
    </x:cfRule>
    <x:cfRule type="expression" dxfId="43" priority="44">
      <x:formula>M2="N/A"</x:formula>
    </x:cfRule>
  </x:conditionalFormatting>
  <x:conditionalFormatting sqref="N2:N51">
    <x:cfRule type="expression" dxfId="44" priority="45">
      <x:formula>N2="Pass"</x:formula>
    </x:cfRule>
    <x:cfRule type="expression" dxfId="45" priority="46">
      <x:formula>N2="Review"</x:formula>
    </x:cfRule>
    <x:cfRule type="expression" dxfId="46" priority="47">
      <x:formula>N2="Unknown"</x:formula>
    </x:cfRule>
    <x:cfRule type="expression" dxfId="47" priority="48">
      <x:formula>N2="N/A"</x:formula>
    </x:cfRule>
  </x:conditionalFormatting>
  <x:conditionalFormatting sqref="O2:O51">
    <x:cfRule type="expression" dxfId="48" priority="49">
      <x:formula>O2="Pass"</x:formula>
    </x:cfRule>
    <x:cfRule type="expression" dxfId="49" priority="50">
      <x:formula>O2="Review"</x:formula>
    </x:cfRule>
    <x:cfRule type="expression" dxfId="50" priority="51">
      <x:formula>O2="Unknown"</x:formula>
    </x:cfRule>
    <x:cfRule type="expression" dxfId="51" priority="52">
      <x:formula>O2="N/A"</x:formula>
    </x:cfRule>
  </x:conditionalFormatting>
  <x:conditionalFormatting sqref="P2:P51">
    <x:cfRule type="expression" dxfId="52" priority="53">
      <x:formula>P2="Pass"</x:formula>
    </x:cfRule>
    <x:cfRule type="expression" dxfId="53" priority="54">
      <x:formula>P2="Review"</x:formula>
    </x:cfRule>
    <x:cfRule type="expression" dxfId="54" priority="55">
      <x:formula>P2="Unknown"</x:formula>
    </x:cfRule>
    <x:cfRule type="expression" dxfId="55" priority="56">
      <x:formula>P2="N/A"</x:formula>
    </x:cfRule>
  </x:conditionalFormatting>
  <x:conditionalFormatting sqref="Q2:Q51">
    <x:cfRule type="expression" dxfId="56" priority="57">
      <x:formula>Q2="Pass"</x:formula>
    </x:cfRule>
    <x:cfRule type="expression" dxfId="57" priority="58">
      <x:formula>Q2="Review"</x:formula>
    </x:cfRule>
    <x:cfRule type="expression" dxfId="58" priority="59">
      <x:formula>Q2="Unknown"</x:formula>
    </x:cfRule>
    <x:cfRule type="expression" dxfId="59" priority="60">
      <x:formula>Q2="N/A"</x:formula>
    </x:cfRule>
  </x:conditionalFormatting>
  <x:conditionalFormatting sqref="R2:R51">
    <x:cfRule type="expression" dxfId="60" priority="61">
      <x:formula>R2="Pass"</x:formula>
    </x:cfRule>
    <x:cfRule type="expression" dxfId="61" priority="62">
      <x:formula>R2="Review"</x:formula>
    </x:cfRule>
    <x:cfRule type="expression" dxfId="62" priority="63">
      <x:formula>R2="Unknown"</x:formula>
    </x:cfRule>
    <x:cfRule type="expression" dxfId="63" priority="64">
      <x:formula>R2="N/A"</x:formula>
    </x:cfRule>
  </x:conditionalFormatting>
  <x:conditionalFormatting sqref="S2:S51">
    <x:cfRule type="expression" dxfId="64" priority="65">
      <x:formula>S2="Pass"</x:formula>
    </x:cfRule>
    <x:cfRule type="expression" dxfId="65" priority="66">
      <x:formula>S2="Review"</x:formula>
    </x:cfRule>
    <x:cfRule type="expression" dxfId="66" priority="67">
      <x:formula>S2="Unknown"</x:formula>
    </x:cfRule>
    <x:cfRule type="expression" dxfId="67" priority="68">
      <x:formula>S2="N/A"</x:formula>
    </x:cfRule>
  </x:conditionalFormatting>
  <x:conditionalFormatting sqref="T2:T51">
    <x:cfRule type="expression" dxfId="68" priority="69">
      <x:formula>T2="High"</x:formula>
    </x:cfRule>
    <x:cfRule type="expression" dxfId="69" priority="70">
      <x:formula>T2="Medium"</x:formula>
    </x:cfRule>
    <x:cfRule type="expression" dxfId="70" priority="71">
      <x:formula>T2="Low"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24634559bb041a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7" max="7" width="34" hidden="0" customWidth="1"/>
    <x:col min="8" max="8" width="48" hidden="0" customWidth="1"/>
    <x:col min="9" max="9" width="44" hidden="0" customWidth="1"/>
  </x:cols>
  <x:sheetData>
    <x:row r="1">
      <x:c r="A1" s="27" t="str">
        <x:v>LawWatch Full Benchmark Summary</x:v>
      </x:c>
      <x:c r="B1" s="27"/>
      <x:c r="C1" s="27"/>
      <x:c r="D1" s="27"/>
      <x:c r="E1" s="27"/>
      <x:c r="F1" s="27"/>
      <x:c r="G1" s="27"/>
      <x:c r="H1" s="27"/>
    </x:row>
    <x:row r="2">
      <x:c r="A2" s="27"/>
      <x:c r="B2" s="27"/>
      <x:c r="C2" s="27"/>
      <x:c r="D2" s="27"/>
      <x:c r="E2" s="27"/>
      <x:c r="F2" s="27"/>
      <x:c r="G2" s="27"/>
      <x:c r="H2" s="27"/>
    </x:row>
    <x:row r="4">
      <x:c r="A4" s="24" t="str">
        <x:v>Metric</x:v>
      </x:c>
      <x:c r="B4" s="24" t="str">
        <x:v>Value</x:v>
      </x:c>
      <x:c r="G4" s="24" t="str">
        <x:v>Finding</x:v>
      </x:c>
      <x:c r="H4" s="24" t="str">
        <x:v>Why it matters</x:v>
      </x:c>
      <x:c r="I4" s="24" t="str">
        <x:v>Example</x:v>
      </x:c>
    </x:row>
    <x:row r="5">
      <x:c r="A5" t="str">
        <x:v>Firms benchmarked</x:v>
      </x:c>
      <x:c r="B5" t="n">
        <x:v>50</x:v>
      </x:c>
      <x:c r="G5" s="18" t="str">
        <x:v>Stale published pricing can persist for years</x:v>
      </x:c>
      <x:c r="H5" s="18" t="str">
        <x:v>Supports recurring monitoring rather than one-off compliance audit</x:v>
      </x:c>
      <x:c r="I5" s="18" t="str">
        <x:v>Rachel Sebastian probate page still carries historic 2019 fee-change material</x:v>
      </x:c>
    </x:row>
    <x:row r="6">
      <x:c r="A6" t="str">
        <x:v>High-confidence firms</x:v>
      </x:c>
      <x:c r="B6" t="n">
        <x:f>COUNTIF('Full Benchmark'!T2:T51,"High")</x:f>
        <x:v>25</x:v>
      </x:c>
      <x:c r="G6" s="18" t="str">
        <x:v>Current pages can contain old rate-review wording</x:v>
      </x:c>
      <x:c r="H6" s="18" t="str">
        <x:v>A page can technically exist yet still drift out of date</x:v>
      </x:c>
      <x:c r="I6" s="18" t="str">
        <x:v>Sintons employment pricing says hourly rates were last reviewed in Autumn 2018</x:v>
      </x:c>
    </x:row>
    <x:row r="7">
      <x:c r="A7" t="str">
        <x:v>Medium-confidence firms</x:v>
      </x:c>
      <x:c r="B7" t="n">
        <x:f>COUNTIF('Full Benchmark'!T2:T51,"Medium")</x:f>
        <x:v>24</x:v>
      </x:c>
      <x:c r="G7" s="18" t="str">
        <x:v>Many firms split evidence across hubs, PDFs and service pages</x:v>
      </x:c>
      <x:c r="H7" s="18" t="str">
        <x:v>Crawler needs regulatory-surface inventory, not simple keyword search</x:v>
      </x:c>
      <x:c r="I7" s="18" t="str">
        <x:v>MSB, Thompson &amp; Jackson, Moore Barlow</x:v>
      </x:c>
    </x:row>
    <x:row r="8">
      <x:c r="A8" t="str">
        <x:v>Low-confidence firms</x:v>
      </x:c>
      <x:c r="B8" t="n">
        <x:f>COUNTIF('Full Benchmark'!T2:T51,"Low")</x:f>
        <x:v>1</x:v>
      </x:c>
      <x:c r="G8" s="18" t="str">
        <x:v>Quote calculators are common</x:v>
      </x:c>
      <x:c r="H8" s="18" t="str">
        <x:v>LawWatch must recognise compliant quote-led journeys as a distinct architecture</x:v>
      </x:c>
      <x:c r="I8" s="18" t="str">
        <x:v>Bishopsgate, Stephensons, Slater Heelis</x:v>
      </x:c>
    </x:row>
    <x:row r="9">
      <x:c r="A9" t="str">
        <x:v>Stale/drift examples identified</x:v>
      </x:c>
      <x:c r="B9" t="n">
        <x:v>2</x:v>
      </x:c>
      <x:c r="G9" s="18" t="str">
        <x:v>Multi-office firms may expose multiple SRA numbers</x:v>
      </x:c>
      <x:c r="H9" s="18" t="str">
        <x:v>Fact extraction must support one-to-many regulatory identifiers</x:v>
      </x:c>
      <x:c r="I9" s="18" t="str">
        <x:v>Leadenhall Law Group</x:v>
      </x:c>
    </x:row>
    <x:row r="10">
      <x:c r="G10" s="18" t="str">
        <x:v>Closed/merged firms can invalidate benchmark cohorts</x:v>
      </x:c>
      <x:c r="H10" s="18" t="str">
        <x:v>Validation cohort itself needs periodic refresh</x:v>
      </x:c>
      <x:c r="I10" s="18" t="str">
        <x:v>Birkett Long closed 1 July 2026; replaced with Birketts</x:v>
      </x:c>
    </x:row>
    <x:row r="12">
      <x:c r="A12" s="24" t="str">
        <x:v>Rule</x:v>
      </x:c>
      <x:c r="B12" s="24" t="str">
        <x:v>Pass</x:v>
      </x:c>
      <x:c r="C12" s="24" t="str">
        <x:v>Review</x:v>
      </x:c>
      <x:c r="D12" s="24" t="str">
        <x:v>Unknown</x:v>
      </x:c>
      <x:c r="E12" s="24" t="str">
        <x:v>Pass rate</x:v>
      </x:c>
    </x:row>
    <x:row r="13">
      <x:c r="A13" t="str">
        <x:v>LAW-U001</x:v>
      </x:c>
      <x:c r="B13" t="n">
        <x:f>COUNTIF('Full Benchmark'!C2:C51,"Pass")</x:f>
        <x:v>17</x:v>
      </x:c>
      <x:c r="C13" t="n">
        <x:f>COUNTIF('Full Benchmark'!C2:C51,"Review")</x:f>
        <x:v>33</x:v>
      </x:c>
      <x:c r="D13" t="n">
        <x:f>COUNTIF('Full Benchmark'!C2:C51,"Unknown")</x:f>
        <x:v>0</x:v>
      </x:c>
      <x:c r="E13" s="16" t="n">
        <x:f>B13/(B13+C13+D13)</x:f>
        <x:v>0.34</x:v>
      </x:c>
    </x:row>
    <x:row r="14">
      <x:c r="A14" t="str">
        <x:v>LAW-U002</x:v>
      </x:c>
      <x:c r="B14" t="n">
        <x:f>COUNTIF('Full Benchmark'!D2:D51,"Pass")</x:f>
        <x:v>2</x:v>
      </x:c>
      <x:c r="C14" t="n">
        <x:f>COUNTIF('Full Benchmark'!D2:D51,"Review")</x:f>
        <x:v>48</x:v>
      </x:c>
      <x:c r="D14" t="n">
        <x:f>COUNTIF('Full Benchmark'!D2:D51,"Unknown")</x:f>
        <x:v>0</x:v>
      </x:c>
      <x:c r="E14" s="16" t="n">
        <x:f>B14/(B14+C14+D14)</x:f>
        <x:v>0.04</x:v>
      </x:c>
    </x:row>
    <x:row r="15">
      <x:c r="A15" t="str">
        <x:v>LAW-U004</x:v>
      </x:c>
      <x:c r="B15" t="n">
        <x:f>COUNTIF('Full Benchmark'!E2:E51,"Pass")</x:f>
        <x:v>31</x:v>
      </x:c>
      <x:c r="C15" t="n">
        <x:f>COUNTIF('Full Benchmark'!E2:E51,"Review")</x:f>
        <x:v>19</x:v>
      </x:c>
      <x:c r="D15" t="n">
        <x:f>COUNTIF('Full Benchmark'!E2:E51,"Unknown")</x:f>
        <x:v>0</x:v>
      </x:c>
      <x:c r="E15" s="16" t="n">
        <x:f>B15/(B15+C15+D15)</x:f>
        <x:v>0.62</x:v>
      </x:c>
    </x:row>
    <x:row r="16">
      <x:c r="A16" t="str">
        <x:v>LAW-U005</x:v>
      </x:c>
      <x:c r="B16" t="n">
        <x:f>COUNTIF('Full Benchmark'!F2:F51,"Pass")</x:f>
        <x:v>17</x:v>
      </x:c>
      <x:c r="C16" t="n">
        <x:f>COUNTIF('Full Benchmark'!F2:F51,"Review")</x:f>
        <x:v>33</x:v>
      </x:c>
      <x:c r="D16" t="n">
        <x:f>COUNTIF('Full Benchmark'!F2:F51,"Unknown")</x:f>
        <x:v>0</x:v>
      </x:c>
      <x:c r="E16" s="16" t="n">
        <x:f>B16/(B16+C16+D16)</x:f>
        <x:v>0.34</x:v>
      </x:c>
    </x:row>
    <x:row r="17">
      <x:c r="A17" t="str">
        <x:v>LAW-U008</x:v>
      </x:c>
      <x:c r="B17" t="n">
        <x:f>COUNTIF('Full Benchmark'!G2:G51,"Pass")</x:f>
        <x:v>13</x:v>
      </x:c>
      <x:c r="C17" t="n">
        <x:f>COUNTIF('Full Benchmark'!G2:G51,"Review")</x:f>
        <x:v>37</x:v>
      </x:c>
      <x:c r="D17" t="n">
        <x:f>COUNTIF('Full Benchmark'!G2:G51,"Unknown")</x:f>
        <x:v>0</x:v>
      </x:c>
      <x:c r="E17" s="16" t="n">
        <x:f>B17/(B17+C17+D17)</x:f>
        <x:v>0.26</x:v>
      </x:c>
    </x:row>
    <x:row r="18">
      <x:c r="A18" t="str">
        <x:v>PRICE-001</x:v>
      </x:c>
      <x:c r="B18" t="n">
        <x:f>COUNTIF('Full Benchmark'!H2:H51,"Pass")</x:f>
        <x:v>45</x:v>
      </x:c>
      <x:c r="C18" t="n">
        <x:f>COUNTIF('Full Benchmark'!H2:H51,"Review")</x:f>
        <x:v>5</x:v>
      </x:c>
      <x:c r="D18" t="n">
        <x:f>COUNTIF('Full Benchmark'!H2:H51,"Unknown")</x:f>
        <x:v>0</x:v>
      </x:c>
      <x:c r="E18" s="16" t="n">
        <x:f>B18/(B18+C18+D18)</x:f>
        <x:v>0.9</x:v>
      </x:c>
    </x:row>
    <x:row r="19">
      <x:c r="A19" t="str">
        <x:v>PRICE-002</x:v>
      </x:c>
      <x:c r="B19" t="n">
        <x:f>COUNTIF('Full Benchmark'!I2:I51,"Pass")</x:f>
        <x:v>45</x:v>
      </x:c>
      <x:c r="C19" t="n">
        <x:f>COUNTIF('Full Benchmark'!I2:I51,"Review")</x:f>
        <x:v>5</x:v>
      </x:c>
      <x:c r="D19" t="n">
        <x:f>COUNTIF('Full Benchmark'!I2:I51,"Unknown")</x:f>
        <x:v>0</x:v>
      </x:c>
      <x:c r="E19" s="16" t="n">
        <x:f>B19/(B19+C19+D19)</x:f>
        <x:v>0.9</x:v>
      </x:c>
    </x:row>
    <x:row r="20">
      <x:c r="A20" t="str">
        <x:v>PRICE-004</x:v>
      </x:c>
      <x:c r="B20" t="n">
        <x:f>COUNTIF('Full Benchmark'!J2:J51,"Pass")</x:f>
        <x:v>18</x:v>
      </x:c>
      <x:c r="C20" t="n">
        <x:f>COUNTIF('Full Benchmark'!J2:J51,"Review")</x:f>
        <x:v>32</x:v>
      </x:c>
      <x:c r="D20" t="n">
        <x:f>COUNTIF('Full Benchmark'!J2:J51,"Unknown")</x:f>
        <x:v>0</x:v>
      </x:c>
      <x:c r="E20" s="16" t="n">
        <x:f>B20/(B20+C20+D20)</x:f>
        <x:v>0.36</x:v>
      </x:c>
    </x:row>
    <x:row r="21">
      <x:c r="A21" t="str">
        <x:v>PRICE-005</x:v>
      </x:c>
      <x:c r="B21" t="n">
        <x:f>COUNTIF('Full Benchmark'!K2:K51,"Pass")</x:f>
        <x:v>6</x:v>
      </x:c>
      <x:c r="C21" t="n">
        <x:f>COUNTIF('Full Benchmark'!K2:K51,"Review")</x:f>
        <x:v>44</x:v>
      </x:c>
      <x:c r="D21" t="n">
        <x:f>COUNTIF('Full Benchmark'!K2:K51,"Unknown")</x:f>
        <x:v>0</x:v>
      </x:c>
      <x:c r="E21" s="16" t="n">
        <x:f>B21/(B21+C21+D21)</x:f>
        <x:v>0.12</x:v>
      </x:c>
    </x:row>
    <x:row r="22">
      <x:c r="A22" t="str">
        <x:v>PRICE-006</x:v>
      </x:c>
      <x:c r="B22" t="n">
        <x:f>COUNTIF('Full Benchmark'!L2:L51,"Pass")</x:f>
        <x:v>38</x:v>
      </x:c>
      <x:c r="C22" t="n">
        <x:f>COUNTIF('Full Benchmark'!L2:L51,"Review")</x:f>
        <x:v>12</x:v>
      </x:c>
      <x:c r="D22" t="n">
        <x:f>COUNTIF('Full Benchmark'!L2:L51,"Unknown")</x:f>
        <x:v>0</x:v>
      </x:c>
      <x:c r="E22" s="16" t="n">
        <x:f>B22/(B22+C22+D22)</x:f>
        <x:v>0.76</x:v>
      </x:c>
    </x:row>
    <x:row r="23">
      <x:c r="A23" t="str">
        <x:v>PRICE-008</x:v>
      </x:c>
      <x:c r="B23" t="n">
        <x:f>COUNTIF('Full Benchmark'!M2:M51,"Pass")</x:f>
        <x:v>37</x:v>
      </x:c>
      <x:c r="C23" t="n">
        <x:f>COUNTIF('Full Benchmark'!M2:M51,"Review")</x:f>
        <x:v>13</x:v>
      </x:c>
      <x:c r="D23" t="n">
        <x:f>COUNTIF('Full Benchmark'!M2:M51,"Unknown")</x:f>
        <x:v>0</x:v>
      </x:c>
      <x:c r="E23" s="16" t="n">
        <x:f>B23/(B23+C23+D23)</x:f>
        <x:v>0.74</x:v>
      </x:c>
    </x:row>
    <x:row r="24">
      <x:c r="A24" t="str">
        <x:v>PRICE-010</x:v>
      </x:c>
      <x:c r="B24" t="n">
        <x:f>COUNTIF('Full Benchmark'!N2:N51,"Pass")</x:f>
        <x:v>14</x:v>
      </x:c>
      <x:c r="C24" t="n">
        <x:f>COUNTIF('Full Benchmark'!N2:N51,"Review")</x:f>
        <x:v>36</x:v>
      </x:c>
      <x:c r="D24" t="n">
        <x:f>COUNTIF('Full Benchmark'!N2:N51,"Unknown")</x:f>
        <x:v>0</x:v>
      </x:c>
      <x:c r="E24" s="16" t="n">
        <x:f>B24/(B24+C24+D24)</x:f>
        <x:v>0.28</x:v>
      </x:c>
    </x:row>
    <x:row r="25">
      <x:c r="A25" t="str">
        <x:v>PRICE-011</x:v>
      </x:c>
      <x:c r="B25" t="n">
        <x:f>COUNTIF('Full Benchmark'!O2:O51,"Pass")</x:f>
        <x:v>42</x:v>
      </x:c>
      <x:c r="C25" t="n">
        <x:f>COUNTIF('Full Benchmark'!O2:O51,"Review")</x:f>
        <x:v>8</x:v>
      </x:c>
      <x:c r="D25" t="n">
        <x:f>COUNTIF('Full Benchmark'!O2:O51,"Unknown")</x:f>
        <x:v>0</x:v>
      </x:c>
      <x:c r="E25" s="16" t="n">
        <x:f>B25/(B25+C25+D25)</x:f>
        <x:v>0.84</x:v>
      </x:c>
    </x:row>
    <x:row r="26">
      <x:c r="A26" t="str">
        <x:v>PRICE-012</x:v>
      </x:c>
      <x:c r="B26" t="n">
        <x:f>COUNTIF('Full Benchmark'!P2:P51,"Pass")</x:f>
        <x:v>27</x:v>
      </x:c>
      <x:c r="C26" t="n">
        <x:f>COUNTIF('Full Benchmark'!P2:P51,"Review")</x:f>
        <x:v>23</x:v>
      </x:c>
      <x:c r="D26" t="n">
        <x:f>COUNTIF('Full Benchmark'!P2:P51,"Unknown")</x:f>
        <x:v>0</x:v>
      </x:c>
      <x:c r="E26" s="16" t="n">
        <x:f>B26/(B26+C26+D26)</x:f>
        <x:v>0.54</x:v>
      </x:c>
    </x:row>
    <x:row r="27">
      <x:c r="A27" t="str">
        <x:v>PRICE-013</x:v>
      </x:c>
      <x:c r="B27" t="n">
        <x:f>COUNTIF('Full Benchmark'!Q2:Q51,"Pass")</x:f>
        <x:v>17</x:v>
      </x:c>
      <x:c r="C27" t="n">
        <x:f>COUNTIF('Full Benchmark'!Q2:Q51,"Review")</x:f>
        <x:v>33</x:v>
      </x:c>
      <x:c r="D27" t="n">
        <x:f>COUNTIF('Full Benchmark'!Q2:Q51,"Unknown")</x:f>
        <x:v>0</x:v>
      </x:c>
      <x:c r="E27" s="16" t="n">
        <x:f>B27/(B27+C27+D27)</x:f>
        <x:v>0.34</x:v>
      </x:c>
    </x:row>
    <x:row r="28">
      <x:c r="A28" t="str">
        <x:v>PRICE-014</x:v>
      </x:c>
      <x:c r="B28" t="n">
        <x:f>COUNTIF('Full Benchmark'!R2:R51,"Pass")</x:f>
        <x:v>20</x:v>
      </x:c>
      <x:c r="C28" t="n">
        <x:f>COUNTIF('Full Benchmark'!R2:R51,"Review")</x:f>
        <x:v>30</x:v>
      </x:c>
      <x:c r="D28" t="n">
        <x:f>COUNTIF('Full Benchmark'!R2:R51,"Unknown")</x:f>
        <x:v>0</x:v>
      </x:c>
      <x:c r="E28" s="16" t="n">
        <x:f>B28/(B28+C28+D28)</x:f>
        <x:v>0.4</x:v>
      </x:c>
    </x:row>
    <x:row r="29">
      <x:c r="A29" t="str">
        <x:v>PRICE-016</x:v>
      </x:c>
      <x:c r="B29" t="n">
        <x:f>COUNTIF('Full Benchmark'!S2:S51,"Pass")</x:f>
        <x:v>48</x:v>
      </x:c>
      <x:c r="C29" t="n">
        <x:f>COUNTIF('Full Benchmark'!S2:S51,"Review")</x:f>
        <x:v>2</x:v>
      </x:c>
      <x:c r="D29" t="n">
        <x:f>COUNTIF('Full Benchmark'!S2:S51,"Unknown")</x:f>
        <x:v>0</x:v>
      </x:c>
      <x:c r="E29" s="16" t="n">
        <x:f>B29/(B29+C29+D29)</x:f>
        <x:v>0.96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58e7e83b742749ff"/>
</x:worksheet>
</file>